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nkaraadhithyaa/Library/Mobile Documents/com~apple~CloudDocs/Studies/ISyE 6335/Casework-3/Free Style/"/>
    </mc:Choice>
  </mc:AlternateContent>
  <xr:revisionPtr revIDLastSave="0" documentId="13_ncr:1_{E70B4DCE-8328-0E4F-AB9F-644E8EB90932}" xr6:coauthVersionLast="47" xr6:coauthVersionMax="47" xr10:uidLastSave="{00000000-0000-0000-0000-000000000000}"/>
  <bookViews>
    <workbookView xWindow="0" yWindow="660" windowWidth="29400" windowHeight="18460" activeTab="2" xr2:uid="{BE25CAEE-1892-234E-A932-3A607E4D14B6}"/>
  </bookViews>
  <sheets>
    <sheet name="Part Free Layout" sheetId="1" r:id="rId1"/>
    <sheet name="distance for travel" sheetId="2" r:id="rId2"/>
    <sheet name="Total investment " sheetId="4" r:id="rId3"/>
    <sheet name="Operators Required" sheetId="5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4" l="1"/>
  <c r="D32" i="4" s="1"/>
  <c r="AB11" i="1"/>
  <c r="J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22" i="5" s="1"/>
  <c r="E22" i="4"/>
  <c r="F22" i="4" s="1"/>
  <c r="E21" i="4"/>
  <c r="F21" i="4" s="1"/>
  <c r="E20" i="4"/>
  <c r="F20" i="4" s="1"/>
  <c r="F19" i="4"/>
  <c r="E19" i="4"/>
  <c r="E18" i="4"/>
  <c r="F18" i="4" s="1"/>
  <c r="E17" i="4"/>
  <c r="F17" i="4" s="1"/>
  <c r="E16" i="4"/>
  <c r="F16" i="4" s="1"/>
  <c r="E15" i="4"/>
  <c r="F15" i="4" s="1"/>
  <c r="F14" i="4"/>
  <c r="E14" i="4"/>
  <c r="E13" i="4"/>
  <c r="F13" i="4" s="1"/>
  <c r="E12" i="4"/>
  <c r="F12" i="4" s="1"/>
  <c r="E11" i="4"/>
  <c r="F11" i="4" s="1"/>
  <c r="E10" i="4"/>
  <c r="F10" i="4" s="1"/>
  <c r="F23" i="4" l="1"/>
  <c r="F31" i="4" s="1"/>
  <c r="BI17" i="1" l="1"/>
  <c r="DI25" i="2" l="1"/>
  <c r="DG25" i="2"/>
  <c r="DF25" i="2"/>
  <c r="DE25" i="2"/>
  <c r="DD25" i="2"/>
  <c r="DC25" i="2"/>
  <c r="DB25" i="2"/>
  <c r="DA25" i="2"/>
  <c r="CZ25" i="2"/>
  <c r="CY25" i="2"/>
  <c r="CX25" i="2"/>
  <c r="CW25" i="2"/>
  <c r="DH24" i="2"/>
  <c r="DF24" i="2"/>
  <c r="DE24" i="2"/>
  <c r="DD24" i="2"/>
  <c r="DC24" i="2"/>
  <c r="DB24" i="2"/>
  <c r="DA24" i="2"/>
  <c r="CZ24" i="2"/>
  <c r="CY24" i="2"/>
  <c r="CX24" i="2"/>
  <c r="CW24" i="2"/>
  <c r="DG23" i="2"/>
  <c r="DF23" i="2"/>
  <c r="DE23" i="2"/>
  <c r="DD23" i="2"/>
  <c r="DC23" i="2"/>
  <c r="DB23" i="2"/>
  <c r="DA23" i="2"/>
  <c r="CZ23" i="2"/>
  <c r="CY23" i="2"/>
  <c r="CX23" i="2"/>
  <c r="CW23" i="2"/>
  <c r="DI22" i="2"/>
  <c r="DH22" i="2"/>
  <c r="DG22" i="2"/>
  <c r="DF22" i="2"/>
  <c r="DD22" i="2"/>
  <c r="DC22" i="2"/>
  <c r="DB22" i="2"/>
  <c r="DA22" i="2"/>
  <c r="CZ22" i="2"/>
  <c r="CY22" i="2"/>
  <c r="CX22" i="2"/>
  <c r="CW22" i="2"/>
  <c r="DI21" i="2"/>
  <c r="DH21" i="2"/>
  <c r="DG21" i="2"/>
  <c r="DE21" i="2"/>
  <c r="DD21" i="2"/>
  <c r="DC21" i="2"/>
  <c r="DB21" i="2"/>
  <c r="DA21" i="2"/>
  <c r="CZ21" i="2"/>
  <c r="CY21" i="2"/>
  <c r="CX21" i="2"/>
  <c r="CW21" i="2"/>
  <c r="DI20" i="2"/>
  <c r="DH20" i="2"/>
  <c r="DG20" i="2"/>
  <c r="DD20" i="2"/>
  <c r="DC20" i="2"/>
  <c r="DB20" i="2"/>
  <c r="DA20" i="2"/>
  <c r="CZ20" i="2"/>
  <c r="CY20" i="2"/>
  <c r="CX20" i="2"/>
  <c r="CW20" i="2"/>
  <c r="DI19" i="2"/>
  <c r="DH19" i="2"/>
  <c r="DG19" i="2"/>
  <c r="DF19" i="2"/>
  <c r="DC19" i="2"/>
  <c r="CZ19" i="2"/>
  <c r="CY19" i="2"/>
  <c r="CX19" i="2"/>
  <c r="CW19" i="2"/>
  <c r="DI18" i="2"/>
  <c r="DH18" i="2"/>
  <c r="DG18" i="2"/>
  <c r="DF18" i="2"/>
  <c r="DB18" i="2"/>
  <c r="DA18" i="2"/>
  <c r="CZ18" i="2"/>
  <c r="CX18" i="2"/>
  <c r="CW18" i="2"/>
  <c r="DI17" i="2"/>
  <c r="DH17" i="2"/>
  <c r="DG17" i="2"/>
  <c r="DF17" i="2"/>
  <c r="DE17" i="2"/>
  <c r="DA17" i="2"/>
  <c r="CZ17" i="2"/>
  <c r="CY17" i="2"/>
  <c r="CX17" i="2"/>
  <c r="CW17" i="2"/>
  <c r="DI16" i="2"/>
  <c r="DH16" i="2"/>
  <c r="DG16" i="2"/>
  <c r="DF16" i="2"/>
  <c r="DB16" i="2"/>
  <c r="DA16" i="2"/>
  <c r="CZ16" i="2"/>
  <c r="CX16" i="2"/>
  <c r="CW16" i="2"/>
  <c r="DI15" i="2"/>
  <c r="DH15" i="2"/>
  <c r="DG15" i="2"/>
  <c r="DF15" i="2"/>
  <c r="DD15" i="2"/>
  <c r="DC15" i="2"/>
  <c r="DB15" i="2"/>
  <c r="DA15" i="2"/>
  <c r="CY15" i="2"/>
  <c r="CX15" i="2"/>
  <c r="CW15" i="2"/>
  <c r="DI14" i="2"/>
  <c r="DH14" i="2"/>
  <c r="DG14" i="2"/>
  <c r="DF14" i="2"/>
  <c r="DE14" i="2"/>
  <c r="DD14" i="2"/>
  <c r="DC14" i="2"/>
  <c r="DB14" i="2"/>
  <c r="DA14" i="2"/>
  <c r="CX14" i="2"/>
  <c r="BI14" i="2"/>
  <c r="DI13" i="2"/>
  <c r="DH13" i="2"/>
  <c r="DG13" i="2"/>
  <c r="DF13" i="2"/>
  <c r="DE13" i="2"/>
  <c r="DD13" i="2"/>
  <c r="DC13" i="2"/>
  <c r="DB13" i="2"/>
  <c r="DA13" i="2"/>
  <c r="CZ13" i="2"/>
  <c r="CW13" i="2"/>
  <c r="CP16" i="2" l="1"/>
  <c r="CI13" i="2"/>
  <c r="CK29" i="2"/>
  <c r="CM17" i="2"/>
  <c r="DB17" i="2" s="1"/>
  <c r="BT13" i="2"/>
  <c r="CT24" i="2"/>
  <c r="CO19" i="2"/>
  <c r="CO17" i="2"/>
  <c r="BV15" i="2"/>
  <c r="CK15" i="2"/>
  <c r="CZ15" i="2" s="1"/>
  <c r="CJ14" i="2"/>
  <c r="CE23" i="2"/>
  <c r="CT23" i="2"/>
  <c r="CL19" i="2"/>
  <c r="DA19" i="2" s="1"/>
  <c r="CR24" i="2"/>
  <c r="BU16" i="2"/>
  <c r="CJ16" i="2"/>
  <c r="CM19" i="2"/>
  <c r="CO16" i="2"/>
  <c r="BZ19" i="2"/>
  <c r="CP22" i="2"/>
  <c r="CA19" i="2"/>
  <c r="CP19" i="2"/>
  <c r="CE24" i="2"/>
  <c r="CB21" i="2"/>
  <c r="CQ21" i="2"/>
  <c r="CB20" i="2"/>
  <c r="CQ20" i="2"/>
  <c r="BZ17" i="2"/>
  <c r="DD17" i="2" s="1"/>
  <c r="BY17" i="2"/>
  <c r="CN17" i="2"/>
  <c r="CS23" i="2"/>
  <c r="CA18" i="2"/>
  <c r="CP18" i="2"/>
  <c r="CD25" i="2"/>
  <c r="CS25" i="2"/>
  <c r="CD23" i="2"/>
  <c r="BX17" i="2"/>
  <c r="CA20" i="2"/>
  <c r="CP20" i="2"/>
  <c r="BW19" i="2"/>
  <c r="BU14" i="2"/>
  <c r="CA15" i="2"/>
  <c r="CP15" i="2"/>
  <c r="BZ16" i="2"/>
  <c r="BV14" i="2"/>
  <c r="CK14" i="2"/>
  <c r="BX19" i="2"/>
  <c r="DB19" i="2" s="1"/>
  <c r="BZ18" i="2"/>
  <c r="CO18" i="2"/>
  <c r="CA16" i="2"/>
  <c r="BY18" i="2"/>
  <c r="CN18" i="2"/>
  <c r="CA22" i="2"/>
  <c r="CC24" i="2"/>
  <c r="DG24" i="2" s="1"/>
  <c r="CY16" i="2" l="1"/>
  <c r="DE15" i="2"/>
  <c r="DE18" i="2"/>
  <c r="DI23" i="2"/>
  <c r="DH25" i="2"/>
  <c r="DD18" i="2"/>
  <c r="DE20" i="2"/>
  <c r="DF21" i="2"/>
  <c r="DE19" i="2"/>
  <c r="DE22" i="2"/>
  <c r="DC17" i="2"/>
  <c r="CX13" i="2"/>
  <c r="CK28" i="2" s="1"/>
  <c r="CK30" i="2" s="1"/>
  <c r="CY14" i="2"/>
  <c r="DH23" i="2"/>
  <c r="DI24" i="2"/>
  <c r="CZ14" i="2"/>
  <c r="DC18" i="2"/>
  <c r="DF20" i="2"/>
  <c r="DD19" i="2"/>
  <c r="DD16" i="2"/>
  <c r="DE16" i="2"/>
</calcChain>
</file>

<file path=xl/sharedStrings.xml><?xml version="1.0" encoding="utf-8"?>
<sst xmlns="http://schemas.openxmlformats.org/spreadsheetml/2006/main" count="231" uniqueCount="71">
  <si>
    <t>P1</t>
  </si>
  <si>
    <t>P4</t>
  </si>
  <si>
    <t>Link arrows from step 3</t>
  </si>
  <si>
    <t>size means importance of flow</t>
  </si>
  <si>
    <t>thicker ones near by</t>
  </si>
  <si>
    <t>Incidently K,L, M do not seem to have any other interaction with other groups of eqp</t>
  </si>
  <si>
    <t>Make planar flow (no intersecting flows</t>
  </si>
  <si>
    <t>centre to centre distance (X axis)</t>
  </si>
  <si>
    <t>centre to centre distance (Y axis)</t>
  </si>
  <si>
    <t>Dist</t>
  </si>
  <si>
    <t>XY coordinates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</si>
  <si>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</si>
  <si>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</si>
  <si>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</si>
  <si>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</si>
  <si>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</si>
  <si>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</si>
  <si>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</si>
  <si>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</si>
  <si>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</si>
  <si>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</si>
  <si>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</si>
  <si>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</si>
  <si>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</si>
  <si>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X</t>
  </si>
  <si>
    <t>y</t>
  </si>
  <si>
    <t>Trip</t>
  </si>
  <si>
    <t>total distance</t>
  </si>
  <si>
    <t>Total Trip</t>
  </si>
  <si>
    <t>Distance per trip</t>
  </si>
  <si>
    <t>Total Equipment Cost</t>
  </si>
  <si>
    <t>Equipment cost</t>
  </si>
  <si>
    <t>Equipment</t>
  </si>
  <si>
    <t>Installed price</t>
  </si>
  <si>
    <t>Process</t>
  </si>
  <si>
    <t>Equipment/Center</t>
  </si>
  <si>
    <t>Utilization</t>
  </si>
  <si>
    <t xml:space="preserve">Cost </t>
  </si>
  <si>
    <t>Total cost</t>
  </si>
  <si>
    <t>AB</t>
  </si>
  <si>
    <t>AC</t>
  </si>
  <si>
    <t>CD</t>
  </si>
  <si>
    <t>ABC</t>
  </si>
  <si>
    <t>ABCD</t>
  </si>
  <si>
    <t>EF</t>
  </si>
  <si>
    <t>TOTAL</t>
  </si>
  <si>
    <t>EG</t>
  </si>
  <si>
    <t>FG</t>
  </si>
  <si>
    <t>EFG</t>
  </si>
  <si>
    <t>Total Area Cost</t>
  </si>
  <si>
    <t>IJ</t>
  </si>
  <si>
    <t>Overall total cost</t>
  </si>
  <si>
    <t>Total area</t>
  </si>
  <si>
    <t>Cost per Sqft</t>
  </si>
  <si>
    <t xml:space="preserve">Total </t>
  </si>
  <si>
    <t>KL</t>
  </si>
  <si>
    <t>KM</t>
  </si>
  <si>
    <t>LM</t>
  </si>
  <si>
    <t>KLM</t>
  </si>
  <si>
    <t>Ti</t>
  </si>
  <si>
    <t>Process Centre</t>
  </si>
  <si>
    <t>Equipment Type</t>
  </si>
  <si>
    <t>Operator type</t>
  </si>
  <si>
    <t>Total equipements per centre</t>
  </si>
  <si>
    <t xml:space="preserve">Total no of operators </t>
  </si>
  <si>
    <t>C1</t>
  </si>
  <si>
    <t>C2</t>
  </si>
  <si>
    <t>C3</t>
  </si>
  <si>
    <t>Total</t>
  </si>
  <si>
    <t>Area</t>
  </si>
  <si>
    <t>Sqft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</si>
</sst>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"/>
    <numFmt numFmtId="165" formatCode="_([$$-409]* #,##0_);_([$$-409]* \(#,##0\);_([$$-409]* &quot;-&quot;_);_(@_)"/>
    <numFmt numFmtId="166" formatCode="_(&quot;$&quot;* #,##0_);_(&quot;$&quot;* \(#,##0\);_(&quot;$&quot;* &quot;-&quot;??_);_(@_)"/>
  </numFmts>
  <fonts count="1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8"/>
      <color theme="0"/>
      <name val="Aptos Narrow"/>
      <family val="2"/>
      <scheme val="minor"/>
    </font>
    <font>
      <sz val="10"/>
      <color indexed="8"/>
      <name val="Helvetica Neue"/>
      <family val="2"/>
    </font>
    <font>
      <b/>
      <sz val="16"/>
      <color indexed="8"/>
      <name val="Helvetica Neue"/>
      <family val="2"/>
    </font>
    <font>
      <b/>
      <sz val="10"/>
      <color indexed="8"/>
      <name val="Helvetica Neue"/>
      <family val="2"/>
    </font>
    <font>
      <b/>
      <sz val="10"/>
      <color rgb="FF000000"/>
      <name val="Helvetica Neue"/>
      <family val="2"/>
    </font>
    <font>
      <sz val="10"/>
      <color theme="0"/>
      <name val="Helvetica Neue"/>
      <family val="2"/>
    </font>
    <font>
      <b/>
      <sz val="10"/>
      <color theme="0"/>
      <name val="Helvetica Neue"/>
      <family val="2"/>
    </font>
    <font>
      <b/>
      <sz val="10"/>
      <color rgb="FF1F2328"/>
      <name val="Arial"/>
      <family val="2"/>
    </font>
    <font>
      <sz val="10"/>
      <color rgb="FF1F2328"/>
      <name val="Arial"/>
      <family val="2"/>
    </font>
    <font>
      <b/>
      <sz val="10"/>
      <color rgb="FF1B1C1D"/>
      <name val="Arial"/>
      <family val="2"/>
    </font>
    <font>
      <sz val="10"/>
      <color rgb="FF1B1C1D"/>
      <name val="Arial"/>
      <family val="2"/>
    </font>
    <font>
      <sz val="36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Protection="0">
      <alignment vertical="top" wrapText="1"/>
    </xf>
    <xf numFmtId="44" fontId="3" fillId="0" borderId="0" applyFont="0" applyFill="0" applyBorder="0" applyAlignment="0" applyProtection="0"/>
  </cellStyleXfs>
  <cellXfs count="1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7" xfId="0" applyBorder="1" applyAlignment="1">
      <alignment horizontal="right" vertical="center"/>
    </xf>
    <xf numFmtId="0" fontId="0" fillId="0" borderId="8" xfId="0" applyBorder="1" applyAlignment="1">
      <alignment horizontal="right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3" borderId="0" xfId="1" applyFill="1" applyAlignment="1">
      <alignment vertical="top"/>
    </xf>
    <xf numFmtId="0" fontId="3" fillId="3" borderId="0" xfId="1" applyFill="1">
      <alignment vertical="top" wrapText="1"/>
    </xf>
    <xf numFmtId="0" fontId="4" fillId="3" borderId="0" xfId="1" applyFont="1" applyFill="1">
      <alignment vertical="top" wrapText="1"/>
    </xf>
    <xf numFmtId="0" fontId="4" fillId="3" borderId="0" xfId="1" applyFont="1" applyFill="1" applyAlignment="1">
      <alignment vertical="top"/>
    </xf>
    <xf numFmtId="0" fontId="3" fillId="3" borderId="0" xfId="1" applyFill="1" applyAlignment="1">
      <alignment horizontal="center" vertical="top" wrapText="1"/>
    </xf>
    <xf numFmtId="0" fontId="5" fillId="3" borderId="0" xfId="1" applyFont="1" applyFill="1" applyAlignment="1">
      <alignment vertical="top"/>
    </xf>
    <xf numFmtId="0" fontId="5" fillId="4" borderId="10" xfId="1" applyFont="1" applyFill="1" applyBorder="1" applyAlignment="1">
      <alignment vertical="top"/>
    </xf>
    <xf numFmtId="49" fontId="5" fillId="4" borderId="10" xfId="1" applyNumberFormat="1" applyFont="1" applyFill="1" applyBorder="1" applyAlignment="1">
      <alignment vertical="top"/>
    </xf>
    <xf numFmtId="1" fontId="5" fillId="5" borderId="11" xfId="1" applyNumberFormat="1" applyFont="1" applyFill="1" applyBorder="1" applyAlignment="1">
      <alignment vertical="top"/>
    </xf>
    <xf numFmtId="1" fontId="3" fillId="0" borderId="12" xfId="1" applyNumberFormat="1" applyBorder="1" applyAlignment="1">
      <alignment vertical="top"/>
    </xf>
    <xf numFmtId="1" fontId="3" fillId="0" borderId="13" xfId="1" applyNumberFormat="1" applyBorder="1" applyAlignment="1">
      <alignment vertical="top"/>
    </xf>
    <xf numFmtId="0" fontId="6" fillId="6" borderId="0" xfId="1" applyFont="1" applyFill="1" applyAlignment="1">
      <alignment vertical="center" wrapText="1"/>
    </xf>
    <xf numFmtId="0" fontId="3" fillId="6" borderId="0" xfId="1" applyFill="1" applyAlignment="1">
      <alignment vertical="center" wrapText="1"/>
    </xf>
    <xf numFmtId="1" fontId="5" fillId="5" borderId="14" xfId="1" applyNumberFormat="1" applyFont="1" applyFill="1" applyBorder="1" applyAlignment="1">
      <alignment vertical="top"/>
    </xf>
    <xf numFmtId="1" fontId="3" fillId="0" borderId="15" xfId="1" applyNumberFormat="1" applyBorder="1" applyAlignment="1">
      <alignment vertical="top"/>
    </xf>
    <xf numFmtId="1" fontId="3" fillId="0" borderId="16" xfId="1" applyNumberFormat="1" applyBorder="1" applyAlignment="1">
      <alignment vertical="top"/>
    </xf>
    <xf numFmtId="1" fontId="7" fillId="0" borderId="12" xfId="1" applyNumberFormat="1" applyFont="1" applyBorder="1" applyAlignment="1">
      <alignment vertical="top"/>
    </xf>
    <xf numFmtId="1" fontId="5" fillId="0" borderId="15" xfId="1" applyNumberFormat="1" applyFont="1" applyBorder="1" applyAlignment="1">
      <alignment vertical="top"/>
    </xf>
    <xf numFmtId="0" fontId="0" fillId="0" borderId="4" xfId="0" applyBorder="1" applyAlignment="1">
      <alignment textRotation="180"/>
    </xf>
    <xf numFmtId="0" fontId="0" fillId="0" borderId="5" xfId="0" applyBorder="1" applyAlignment="1">
      <alignment textRotation="180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2" fillId="2" borderId="0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0" fillId="0" borderId="0" xfId="0" applyBorder="1" applyAlignment="1">
      <alignment horizontal="right" vertical="center"/>
    </xf>
    <xf numFmtId="0" fontId="0" fillId="3" borderId="0" xfId="0" applyFill="1" applyBorder="1" applyAlignment="1">
      <alignment horizontal="center" vertical="top" wrapText="1"/>
    </xf>
    <xf numFmtId="0" fontId="3" fillId="3" borderId="0" xfId="0" applyFont="1" applyFill="1" applyBorder="1" applyAlignment="1">
      <alignment horizontal="center" vertical="top" wrapText="1"/>
    </xf>
    <xf numFmtId="0" fontId="0" fillId="3" borderId="0" xfId="0" applyFill="1" applyBorder="1" applyAlignment="1">
      <alignment vertical="top" wrapText="1"/>
    </xf>
    <xf numFmtId="0" fontId="0" fillId="0" borderId="0" xfId="0" applyBorder="1" applyAlignment="1">
      <alignment textRotation="180"/>
    </xf>
    <xf numFmtId="0" fontId="0" fillId="3" borderId="1" xfId="0" applyFill="1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0" borderId="6" xfId="0" applyBorder="1" applyAlignment="1">
      <alignment textRotation="180"/>
    </xf>
    <xf numFmtId="0" fontId="0" fillId="0" borderId="7" xfId="0" applyBorder="1" applyAlignment="1">
      <alignment textRotation="180"/>
    </xf>
    <xf numFmtId="0" fontId="0" fillId="0" borderId="8" xfId="0" applyBorder="1" applyAlignment="1">
      <alignment textRotation="18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" fontId="7" fillId="0" borderId="13" xfId="1" applyNumberFormat="1" applyFont="1" applyBorder="1" applyAlignment="1">
      <alignment vertical="top"/>
    </xf>
    <xf numFmtId="1" fontId="7" fillId="0" borderId="15" xfId="1" applyNumberFormat="1" applyFont="1" applyBorder="1" applyAlignment="1">
      <alignment vertical="top"/>
    </xf>
    <xf numFmtId="1" fontId="7" fillId="0" borderId="16" xfId="1" applyNumberFormat="1" applyFont="1" applyBorder="1" applyAlignment="1">
      <alignment vertical="top"/>
    </xf>
    <xf numFmtId="1" fontId="8" fillId="0" borderId="15" xfId="1" applyNumberFormat="1" applyFont="1" applyBorder="1" applyAlignment="1">
      <alignment vertical="top"/>
    </xf>
    <xf numFmtId="1" fontId="7" fillId="3" borderId="15" xfId="1" applyNumberFormat="1" applyFont="1" applyFill="1" applyBorder="1" applyAlignment="1">
      <alignment vertical="top"/>
    </xf>
    <xf numFmtId="0" fontId="3" fillId="0" borderId="0" xfId="1" applyBorder="1">
      <alignment vertical="top" wrapText="1"/>
    </xf>
    <xf numFmtId="0" fontId="5" fillId="7" borderId="17" xfId="1" applyFont="1" applyFill="1" applyBorder="1">
      <alignment vertical="top" wrapText="1"/>
    </xf>
    <xf numFmtId="0" fontId="1" fillId="8" borderId="20" xfId="1" applyFont="1" applyFill="1" applyBorder="1" applyAlignment="1">
      <alignment horizontal="center" vertical="center"/>
    </xf>
    <xf numFmtId="0" fontId="1" fillId="8" borderId="21" xfId="1" applyFont="1" applyFill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1" fillId="8" borderId="18" xfId="1" applyFont="1" applyFill="1" applyBorder="1" applyAlignment="1">
      <alignment horizontal="center" vertical="center"/>
    </xf>
    <xf numFmtId="0" fontId="1" fillId="8" borderId="22" xfId="1" applyFont="1" applyFill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 wrapText="1"/>
    </xf>
    <xf numFmtId="10" fontId="10" fillId="0" borderId="9" xfId="1" applyNumberFormat="1" applyFont="1" applyBorder="1" applyAlignment="1">
      <alignment horizontal="center" vertical="center" wrapText="1"/>
    </xf>
    <xf numFmtId="164" fontId="9" fillId="0" borderId="9" xfId="1" applyNumberFormat="1" applyFont="1" applyBorder="1" applyAlignment="1">
      <alignment horizontal="center" vertical="center" wrapText="1"/>
    </xf>
    <xf numFmtId="0" fontId="3" fillId="9" borderId="19" xfId="1" applyFill="1" applyBorder="1" applyAlignment="1">
      <alignment horizontal="center"/>
    </xf>
    <xf numFmtId="165" fontId="3" fillId="10" borderId="0" xfId="1" applyNumberFormat="1" applyFill="1" applyAlignment="1">
      <alignment horizontal="center"/>
    </xf>
    <xf numFmtId="0" fontId="11" fillId="0" borderId="0" xfId="1" applyFont="1">
      <alignment vertical="top" wrapText="1"/>
    </xf>
    <xf numFmtId="0" fontId="12" fillId="0" borderId="0" xfId="1" applyFont="1">
      <alignment vertical="top" wrapText="1"/>
    </xf>
    <xf numFmtId="10" fontId="9" fillId="0" borderId="9" xfId="1" applyNumberFormat="1" applyFont="1" applyBorder="1" applyAlignment="1">
      <alignment horizontal="center" vertical="center" wrapText="1"/>
    </xf>
    <xf numFmtId="0" fontId="3" fillId="0" borderId="17" xfId="1" applyBorder="1" applyAlignment="1">
      <alignment horizontal="center" vertical="center" wrapText="1"/>
    </xf>
    <xf numFmtId="0" fontId="3" fillId="0" borderId="0" xfId="1" applyBorder="1" applyAlignment="1">
      <alignment horizontal="center" vertical="center" wrapText="1"/>
    </xf>
    <xf numFmtId="164" fontId="3" fillId="0" borderId="23" xfId="1" applyNumberFormat="1" applyBorder="1">
      <alignment vertical="top" wrapText="1"/>
    </xf>
    <xf numFmtId="166" fontId="5" fillId="0" borderId="17" xfId="2" applyNumberFormat="1" applyFont="1" applyBorder="1" applyAlignment="1">
      <alignment horizontal="center" vertical="center" wrapText="1"/>
    </xf>
    <xf numFmtId="0" fontId="3" fillId="9" borderId="18" xfId="1" applyFill="1" applyBorder="1" applyAlignment="1">
      <alignment horizontal="center"/>
    </xf>
    <xf numFmtId="165" fontId="3" fillId="10" borderId="24" xfId="1" applyNumberFormat="1" applyFill="1" applyBorder="1" applyAlignment="1">
      <alignment horizontal="center"/>
    </xf>
    <xf numFmtId="0" fontId="3" fillId="0" borderId="0" xfId="1">
      <alignment vertical="top" wrapText="1"/>
    </xf>
    <xf numFmtId="0" fontId="11" fillId="0" borderId="25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11" fillId="0" borderId="2" xfId="1" applyFont="1" applyBorder="1" applyAlignment="1">
      <alignment horizontal="center" vertical="center" wrapText="1"/>
    </xf>
    <xf numFmtId="0" fontId="5" fillId="0" borderId="25" xfId="1" applyFont="1" applyBorder="1" applyAlignment="1">
      <alignment horizontal="center" vertical="center" wrapText="1"/>
    </xf>
    <xf numFmtId="0" fontId="11" fillId="0" borderId="23" xfId="1" applyFont="1" applyBorder="1" applyAlignment="1">
      <alignment horizontal="center" vertical="center" wrapText="1"/>
    </xf>
    <xf numFmtId="0" fontId="11" fillId="0" borderId="8" xfId="1" applyFont="1" applyBorder="1" applyAlignment="1">
      <alignment horizontal="center" vertical="center" wrapText="1"/>
    </xf>
    <xf numFmtId="0" fontId="11" fillId="0" borderId="17" xfId="1" applyFont="1" applyBorder="1" applyAlignment="1">
      <alignment horizontal="center" vertical="center" wrapText="1"/>
    </xf>
    <xf numFmtId="0" fontId="11" fillId="0" borderId="26" xfId="1" applyFont="1" applyBorder="1" applyAlignment="1">
      <alignment horizontal="center" vertical="center" wrapText="1"/>
    </xf>
    <xf numFmtId="0" fontId="11" fillId="0" borderId="6" xfId="1" applyFont="1" applyBorder="1" applyAlignment="1">
      <alignment horizontal="center" vertical="center" wrapText="1"/>
    </xf>
    <xf numFmtId="0" fontId="5" fillId="0" borderId="23" xfId="1" applyFont="1" applyBorder="1" applyAlignment="1">
      <alignment horizontal="center" vertical="center" wrapText="1"/>
    </xf>
    <xf numFmtId="0" fontId="11" fillId="0" borderId="27" xfId="1" applyFont="1" applyBorder="1" applyAlignment="1">
      <alignment horizontal="center" vertical="center" wrapText="1"/>
    </xf>
    <xf numFmtId="0" fontId="12" fillId="0" borderId="0" xfId="1" applyFont="1" applyBorder="1" applyAlignment="1">
      <alignment horizontal="center" vertical="center" wrapText="1"/>
    </xf>
    <xf numFmtId="0" fontId="12" fillId="0" borderId="27" xfId="1" applyNumberFormat="1" applyFont="1" applyBorder="1" applyAlignment="1">
      <alignment horizontal="center" vertical="center" wrapText="1"/>
    </xf>
    <xf numFmtId="12" fontId="12" fillId="0" borderId="0" xfId="1" applyNumberFormat="1" applyFont="1" applyBorder="1" applyAlignment="1">
      <alignment horizontal="center" vertical="center" wrapText="1"/>
    </xf>
    <xf numFmtId="0" fontId="3" fillId="0" borderId="27" xfId="1" applyNumberFormat="1" applyBorder="1" applyAlignment="1">
      <alignment horizontal="center" vertical="center" wrapText="1"/>
    </xf>
    <xf numFmtId="0" fontId="10" fillId="0" borderId="0" xfId="1" applyFont="1" applyBorder="1" applyAlignment="1">
      <alignment horizontal="center" vertical="center" wrapText="1"/>
    </xf>
    <xf numFmtId="12" fontId="3" fillId="0" borderId="27" xfId="1" applyNumberFormat="1" applyBorder="1" applyAlignment="1">
      <alignment horizontal="center" vertical="center" wrapText="1"/>
    </xf>
    <xf numFmtId="0" fontId="12" fillId="0" borderId="0" xfId="1" applyNumberFormat="1" applyFont="1" applyBorder="1" applyAlignment="1">
      <alignment horizontal="center" vertical="center" wrapText="1"/>
    </xf>
    <xf numFmtId="12" fontId="12" fillId="0" borderId="27" xfId="1" applyNumberFormat="1" applyFont="1" applyBorder="1" applyAlignment="1">
      <alignment horizontal="center" vertical="center" wrapText="1"/>
    </xf>
    <xf numFmtId="0" fontId="11" fillId="0" borderId="23" xfId="1" applyFont="1" applyBorder="1" applyAlignment="1">
      <alignment horizontal="center" vertical="center" wrapText="1"/>
    </xf>
    <xf numFmtId="0" fontId="12" fillId="0" borderId="7" xfId="1" applyFont="1" applyBorder="1" applyAlignment="1">
      <alignment horizontal="center" vertical="center" wrapText="1"/>
    </xf>
    <xf numFmtId="12" fontId="12" fillId="0" borderId="23" xfId="1" applyNumberFormat="1" applyFont="1" applyBorder="1" applyAlignment="1">
      <alignment horizontal="center" vertical="center" wrapText="1"/>
    </xf>
    <xf numFmtId="12" fontId="12" fillId="0" borderId="7" xfId="1" applyNumberFormat="1" applyFont="1" applyBorder="1" applyAlignment="1">
      <alignment horizontal="center" vertical="center" wrapText="1"/>
    </xf>
    <xf numFmtId="12" fontId="11" fillId="0" borderId="17" xfId="1" applyNumberFormat="1" applyFont="1" applyBorder="1" applyAlignment="1">
      <alignment horizontal="center" vertical="center" wrapText="1"/>
    </xf>
    <xf numFmtId="12" fontId="5" fillId="0" borderId="28" xfId="1" applyNumberFormat="1" applyFont="1" applyFill="1" applyBorder="1" applyAlignment="1">
      <alignment horizontal="center" vertical="center" wrapText="1"/>
    </xf>
    <xf numFmtId="0" fontId="3" fillId="0" borderId="17" xfId="1" applyBorder="1">
      <alignment vertical="top" wrapText="1"/>
    </xf>
    <xf numFmtId="0" fontId="13" fillId="0" borderId="29" xfId="0" applyFont="1" applyBorder="1"/>
    <xf numFmtId="0" fontId="13" fillId="0" borderId="26" xfId="0" applyFont="1" applyBorder="1"/>
    <xf numFmtId="0" fontId="13" fillId="0" borderId="28" xfId="0" applyFont="1" applyBorder="1"/>
    <xf numFmtId="0" fontId="0" fillId="0" borderId="28" xfId="0" applyBorder="1"/>
    <xf numFmtId="0" fontId="0" fillId="0" borderId="26" xfId="0" applyFont="1" applyBorder="1"/>
  </cellXfs>
  <cellStyles count="3">
    <cellStyle name="Currency 2" xfId="2" xr:uid="{59380214-EAA6-A94E-A7D0-A285F7E855AE}"/>
    <cellStyle name="Normal" xfId="0" builtinId="0"/>
    <cellStyle name="Normal 2" xfId="1" xr:uid="{4EB8AF8E-1E15-EC42-B349-D42AAC258C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</xdr:col>
      <xdr:colOff>0</xdr:colOff>
      <xdr:row>11</xdr:row>
      <xdr:rowOff>72571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A25A43B5-5936-A34F-BAEF-B644A9D3C984}"/>
            </a:ext>
          </a:extLst>
        </xdr:cNvPr>
        <xdr:cNvGrpSpPr/>
      </xdr:nvGrpSpPr>
      <xdr:grpSpPr>
        <a:xfrm>
          <a:off x="635000" y="2032000"/>
          <a:ext cx="0" cy="3628571"/>
          <a:chOff x="7446459" y="5303237"/>
          <a:chExt cx="3165928" cy="3018383"/>
        </a:xfrm>
      </xdr:grpSpPr>
      <xdr:grpSp>
        <xdr:nvGrpSpPr>
          <xdr:cNvPr id="33" name="Group 32">
            <a:extLst>
              <a:ext uri="{FF2B5EF4-FFF2-40B4-BE49-F238E27FC236}">
                <a16:creationId xmlns:a16="http://schemas.microsoft.com/office/drawing/2014/main" id="{4D06F5BD-F2B0-781F-BDE7-482E4FD0E65C}"/>
              </a:ext>
            </a:extLst>
          </xdr:cNvPr>
          <xdr:cNvGrpSpPr/>
        </xdr:nvGrpSpPr>
        <xdr:grpSpPr>
          <a:xfrm>
            <a:off x="7446459" y="5303237"/>
            <a:ext cx="3165928" cy="3018383"/>
            <a:chOff x="5998515" y="3579210"/>
            <a:chExt cx="3038285" cy="943131"/>
          </a:xfrm>
        </xdr:grpSpPr>
        <xdr:pic>
          <xdr:nvPicPr>
            <xdr:cNvPr id="35" name="Picture 34">
              <a:extLst>
                <a:ext uri="{FF2B5EF4-FFF2-40B4-BE49-F238E27FC236}">
                  <a16:creationId xmlns:a16="http://schemas.microsoft.com/office/drawing/2014/main" id="{2CCB5563-05E3-7D4E-19EB-01F9EE86A08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6025785" y="3580392"/>
              <a:ext cx="2999681" cy="937972"/>
            </a:xfrm>
            <a:prstGeom prst="rect">
              <a:avLst/>
            </a:prstGeom>
          </xdr:spPr>
        </xdr:pic>
        <xdr:sp macro="" textlink="">
          <xdr:nvSpPr>
            <xdr:cNvPr id="36" name="Rectangle 35">
              <a:extLst>
                <a:ext uri="{FF2B5EF4-FFF2-40B4-BE49-F238E27FC236}">
                  <a16:creationId xmlns:a16="http://schemas.microsoft.com/office/drawing/2014/main" id="{19D6D487-9022-6215-63CD-1D037177F6B2}"/>
                </a:ext>
              </a:extLst>
            </xdr:cNvPr>
            <xdr:cNvSpPr/>
          </xdr:nvSpPr>
          <xdr:spPr>
            <a:xfrm>
              <a:off x="5998515" y="3579210"/>
              <a:ext cx="3038285" cy="943131"/>
            </a:xfrm>
            <a:prstGeom prst="rect">
              <a:avLst/>
            </a:prstGeom>
            <a:solidFill>
              <a:schemeClr val="accent1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no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F7ECC70F-AC0F-6BD2-EF71-FC25688AA24D}"/>
              </a:ext>
            </a:extLst>
          </xdr:cNvPr>
          <xdr:cNvSpPr/>
        </xdr:nvSpPr>
        <xdr:spPr>
          <a:xfrm>
            <a:off x="8314827" y="6168365"/>
            <a:ext cx="1433289" cy="1230017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7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J</a:t>
            </a:r>
          </a:p>
        </xdr:txBody>
      </xdr:sp>
    </xdr:grpSp>
    <xdr:clientData/>
  </xdr:twoCellAnchor>
  <xdr:twoCellAnchor>
    <xdr:from>
      <xdr:col>2</xdr:col>
      <xdr:colOff>0</xdr:colOff>
      <xdr:row>20</xdr:row>
      <xdr:rowOff>12700</xdr:rowOff>
    </xdr:from>
    <xdr:to>
      <xdr:col>2</xdr:col>
      <xdr:colOff>0</xdr:colOff>
      <xdr:row>27</xdr:row>
      <xdr:rowOff>12699</xdr:rowOff>
    </xdr:to>
    <xdr:grpSp>
      <xdr:nvGrpSpPr>
        <xdr:cNvPr id="103" name="Group 102">
          <a:extLst>
            <a:ext uri="{FF2B5EF4-FFF2-40B4-BE49-F238E27FC236}">
              <a16:creationId xmlns:a16="http://schemas.microsoft.com/office/drawing/2014/main" id="{8574A1D9-C65E-5040-A48D-F0438998DB23}"/>
            </a:ext>
          </a:extLst>
        </xdr:cNvPr>
        <xdr:cNvGrpSpPr/>
      </xdr:nvGrpSpPr>
      <xdr:grpSpPr>
        <a:xfrm>
          <a:off x="1270000" y="10172700"/>
          <a:ext cx="0" cy="3555999"/>
          <a:chOff x="9052922" y="10123712"/>
          <a:chExt cx="2123440" cy="2153557"/>
        </a:xfrm>
      </xdr:grpSpPr>
      <xdr:grpSp>
        <xdr:nvGrpSpPr>
          <xdr:cNvPr id="104" name="Group 103">
            <a:extLst>
              <a:ext uri="{FF2B5EF4-FFF2-40B4-BE49-F238E27FC236}">
                <a16:creationId xmlns:a16="http://schemas.microsoft.com/office/drawing/2014/main" id="{3D98AE98-B322-884C-0D56-14EDE9720B04}"/>
              </a:ext>
            </a:extLst>
          </xdr:cNvPr>
          <xdr:cNvGrpSpPr/>
        </xdr:nvGrpSpPr>
        <xdr:grpSpPr>
          <a:xfrm>
            <a:off x="9052922" y="10123712"/>
            <a:ext cx="2123440" cy="2153557"/>
            <a:chOff x="2166446" y="4637853"/>
            <a:chExt cx="1951819" cy="1297469"/>
          </a:xfrm>
        </xdr:grpSpPr>
        <xdr:pic>
          <xdr:nvPicPr>
            <xdr:cNvPr id="106" name="Picture 105">
              <a:extLst>
                <a:ext uri="{FF2B5EF4-FFF2-40B4-BE49-F238E27FC236}">
                  <a16:creationId xmlns:a16="http://schemas.microsoft.com/office/drawing/2014/main" id="{12697BE9-196A-4F83-042E-583C753F392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183009" y="4669512"/>
              <a:ext cx="1935256" cy="1265810"/>
            </a:xfrm>
            <a:prstGeom prst="rect">
              <a:avLst/>
            </a:prstGeom>
          </xdr:spPr>
        </xdr:pic>
        <xdr:sp macro="" textlink="">
          <xdr:nvSpPr>
            <xdr:cNvPr id="107" name="Rectangle 106">
              <a:extLst>
                <a:ext uri="{FF2B5EF4-FFF2-40B4-BE49-F238E27FC236}">
                  <a16:creationId xmlns:a16="http://schemas.microsoft.com/office/drawing/2014/main" id="{7745CAEB-B08C-514B-E9F6-3718F58BAC95}"/>
                </a:ext>
              </a:extLst>
            </xdr:cNvPr>
            <xdr:cNvSpPr/>
          </xdr:nvSpPr>
          <xdr:spPr>
            <a:xfrm>
              <a:off x="2166446" y="4637853"/>
              <a:ext cx="1943332" cy="1291924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105" name="Rectangle 104">
            <a:extLst>
              <a:ext uri="{FF2B5EF4-FFF2-40B4-BE49-F238E27FC236}">
                <a16:creationId xmlns:a16="http://schemas.microsoft.com/office/drawing/2014/main" id="{6DD2759D-E54C-9F90-6D33-12DF01A79F18}"/>
              </a:ext>
            </a:extLst>
          </xdr:cNvPr>
          <xdr:cNvSpPr/>
        </xdr:nvSpPr>
        <xdr:spPr>
          <a:xfrm>
            <a:off x="9555117" y="10723338"/>
            <a:ext cx="901337" cy="960483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54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E</a:t>
            </a:r>
          </a:p>
        </xdr:txBody>
      </xdr:sp>
    </xdr:grpSp>
    <xdr:clientData/>
  </xdr:twoCellAnchor>
  <xdr:twoCellAnchor>
    <xdr:from>
      <xdr:col>2</xdr:col>
      <xdr:colOff>0</xdr:colOff>
      <xdr:row>22</xdr:row>
      <xdr:rowOff>1</xdr:rowOff>
    </xdr:from>
    <xdr:to>
      <xdr:col>2</xdr:col>
      <xdr:colOff>12701</xdr:colOff>
      <xdr:row>24</xdr:row>
      <xdr:rowOff>500015</xdr:rowOff>
    </xdr:to>
    <xdr:grpSp>
      <xdr:nvGrpSpPr>
        <xdr:cNvPr id="128" name="Group 127">
          <a:extLst>
            <a:ext uri="{FF2B5EF4-FFF2-40B4-BE49-F238E27FC236}">
              <a16:creationId xmlns:a16="http://schemas.microsoft.com/office/drawing/2014/main" id="{FDA4701C-F60E-6540-9E7E-B44C2A07A4E5}"/>
            </a:ext>
          </a:extLst>
        </xdr:cNvPr>
        <xdr:cNvGrpSpPr/>
      </xdr:nvGrpSpPr>
      <xdr:grpSpPr>
        <a:xfrm>
          <a:off x="1270000" y="11176001"/>
          <a:ext cx="12701" cy="1516014"/>
          <a:chOff x="7415704" y="5252355"/>
          <a:chExt cx="3184873" cy="2966360"/>
        </a:xfrm>
      </xdr:grpSpPr>
      <xdr:grpSp>
        <xdr:nvGrpSpPr>
          <xdr:cNvPr id="129" name="Group 128">
            <a:extLst>
              <a:ext uri="{FF2B5EF4-FFF2-40B4-BE49-F238E27FC236}">
                <a16:creationId xmlns:a16="http://schemas.microsoft.com/office/drawing/2014/main" id="{17450689-8BA4-78AD-615D-BCC960D2B85D}"/>
              </a:ext>
            </a:extLst>
          </xdr:cNvPr>
          <xdr:cNvGrpSpPr/>
        </xdr:nvGrpSpPr>
        <xdr:grpSpPr>
          <a:xfrm>
            <a:off x="7415704" y="5252355"/>
            <a:ext cx="3184873" cy="2966360"/>
            <a:chOff x="5969000" y="3563312"/>
            <a:chExt cx="3056466" cy="926876"/>
          </a:xfrm>
        </xdr:grpSpPr>
        <xdr:pic>
          <xdr:nvPicPr>
            <xdr:cNvPr id="131" name="Picture 130">
              <a:extLst>
                <a:ext uri="{FF2B5EF4-FFF2-40B4-BE49-F238E27FC236}">
                  <a16:creationId xmlns:a16="http://schemas.microsoft.com/office/drawing/2014/main" id="{82D9B26D-F891-C8DF-E89E-120F85FC210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5969000" y="3564467"/>
              <a:ext cx="3056466" cy="876251"/>
            </a:xfrm>
            <a:prstGeom prst="rect">
              <a:avLst/>
            </a:prstGeom>
          </xdr:spPr>
        </xdr:pic>
        <xdr:sp macro="" textlink="">
          <xdr:nvSpPr>
            <xdr:cNvPr id="132" name="Rectangle 131">
              <a:extLst>
                <a:ext uri="{FF2B5EF4-FFF2-40B4-BE49-F238E27FC236}">
                  <a16:creationId xmlns:a16="http://schemas.microsoft.com/office/drawing/2014/main" id="{70FBD8D6-4521-74DD-169D-78420C5AE8E3}"/>
                </a:ext>
              </a:extLst>
            </xdr:cNvPr>
            <xdr:cNvSpPr/>
          </xdr:nvSpPr>
          <xdr:spPr>
            <a:xfrm>
              <a:off x="5982239" y="3563312"/>
              <a:ext cx="3038286" cy="926876"/>
            </a:xfrm>
            <a:prstGeom prst="rect">
              <a:avLst/>
            </a:prstGeom>
            <a:solidFill>
              <a:schemeClr val="accent1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130" name="Rectangle 129">
            <a:extLst>
              <a:ext uri="{FF2B5EF4-FFF2-40B4-BE49-F238E27FC236}">
                <a16:creationId xmlns:a16="http://schemas.microsoft.com/office/drawing/2014/main" id="{1FFEE89B-E6EF-3D14-0673-07380E9DF4F3}"/>
              </a:ext>
            </a:extLst>
          </xdr:cNvPr>
          <xdr:cNvSpPr/>
        </xdr:nvSpPr>
        <xdr:spPr>
          <a:xfrm>
            <a:off x="8236857" y="5866530"/>
            <a:ext cx="1433286" cy="1230017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7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J</a:t>
            </a:r>
          </a:p>
        </xdr:txBody>
      </xdr:sp>
    </xdr:grpSp>
    <xdr:clientData/>
  </xdr:twoCellAnchor>
  <xdr:twoCellAnchor>
    <xdr:from>
      <xdr:col>14</xdr:col>
      <xdr:colOff>562425</xdr:colOff>
      <xdr:row>12</xdr:row>
      <xdr:rowOff>272144</xdr:rowOff>
    </xdr:from>
    <xdr:to>
      <xdr:col>51</xdr:col>
      <xdr:colOff>562426</xdr:colOff>
      <xdr:row>49</xdr:row>
      <xdr:rowOff>217715</xdr:rowOff>
    </xdr:to>
    <xdr:grpSp>
      <xdr:nvGrpSpPr>
        <xdr:cNvPr id="473" name="Group 472">
          <a:extLst>
            <a:ext uri="{FF2B5EF4-FFF2-40B4-BE49-F238E27FC236}">
              <a16:creationId xmlns:a16="http://schemas.microsoft.com/office/drawing/2014/main" id="{974DB88E-8A90-DB44-B75D-FF9D968829F0}"/>
            </a:ext>
          </a:extLst>
        </xdr:cNvPr>
        <xdr:cNvGrpSpPr/>
      </xdr:nvGrpSpPr>
      <xdr:grpSpPr>
        <a:xfrm>
          <a:off x="9452425" y="6368144"/>
          <a:ext cx="24479251" cy="18741571"/>
          <a:chOff x="7526751" y="3922981"/>
          <a:chExt cx="5512066" cy="4337986"/>
        </a:xfrm>
      </xdr:grpSpPr>
      <xdr:grpSp>
        <xdr:nvGrpSpPr>
          <xdr:cNvPr id="474" name="Group 473">
            <a:extLst>
              <a:ext uri="{FF2B5EF4-FFF2-40B4-BE49-F238E27FC236}">
                <a16:creationId xmlns:a16="http://schemas.microsoft.com/office/drawing/2014/main" id="{0E13F270-7FD9-43BD-657B-A91A57746E44}"/>
              </a:ext>
            </a:extLst>
          </xdr:cNvPr>
          <xdr:cNvGrpSpPr/>
        </xdr:nvGrpSpPr>
        <xdr:grpSpPr>
          <a:xfrm>
            <a:off x="8775966" y="4525999"/>
            <a:ext cx="728430" cy="921494"/>
            <a:chOff x="-1217594" y="3829242"/>
            <a:chExt cx="1739319" cy="1688338"/>
          </a:xfrm>
        </xdr:grpSpPr>
        <xdr:grpSp>
          <xdr:nvGrpSpPr>
            <xdr:cNvPr id="531" name="Group 530">
              <a:extLst>
                <a:ext uri="{FF2B5EF4-FFF2-40B4-BE49-F238E27FC236}">
                  <a16:creationId xmlns:a16="http://schemas.microsoft.com/office/drawing/2014/main" id="{0A665148-DC2A-FA9B-5A5C-93FC1964CDFA}"/>
                </a:ext>
              </a:extLst>
            </xdr:cNvPr>
            <xdr:cNvGrpSpPr/>
          </xdr:nvGrpSpPr>
          <xdr:grpSpPr>
            <a:xfrm>
              <a:off x="-1217594" y="3829242"/>
              <a:ext cx="1739319" cy="1688338"/>
              <a:chOff x="-454114" y="3028094"/>
              <a:chExt cx="2324305" cy="660148"/>
            </a:xfrm>
          </xdr:grpSpPr>
          <xdr:pic>
            <xdr:nvPicPr>
              <xdr:cNvPr id="533" name="Picture 532">
                <a:extLst>
                  <a:ext uri="{FF2B5EF4-FFF2-40B4-BE49-F238E27FC236}">
                    <a16:creationId xmlns:a16="http://schemas.microsoft.com/office/drawing/2014/main" id="{CCE9C883-AAE6-B665-FC20-653401275421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"/>
              <a:stretch>
                <a:fillRect/>
              </a:stretch>
            </xdr:blipFill>
            <xdr:spPr>
              <a:xfrm>
                <a:off x="-454114" y="3042090"/>
                <a:ext cx="2293238" cy="646152"/>
              </a:xfrm>
              <a:prstGeom prst="rect">
                <a:avLst/>
              </a:prstGeom>
            </xdr:spPr>
          </xdr:pic>
          <xdr:sp macro="" textlink="">
            <xdr:nvSpPr>
              <xdr:cNvPr id="534" name="Rectangle 533">
                <a:extLst>
                  <a:ext uri="{FF2B5EF4-FFF2-40B4-BE49-F238E27FC236}">
                    <a16:creationId xmlns:a16="http://schemas.microsoft.com/office/drawing/2014/main" id="{40C63CBA-E0AD-D425-47AC-10DD2FE5CF6D}"/>
                  </a:ext>
                </a:extLst>
              </xdr:cNvPr>
              <xdr:cNvSpPr/>
            </xdr:nvSpPr>
            <xdr:spPr>
              <a:xfrm>
                <a:off x="-433556" y="3028094"/>
                <a:ext cx="2303747" cy="639512"/>
              </a:xfrm>
              <a:prstGeom prst="rect">
                <a:avLst/>
              </a:prstGeom>
              <a:solidFill>
                <a:srgbClr val="000000"/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no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532" name="TextBox 531">
              <a:extLst>
                <a:ext uri="{FF2B5EF4-FFF2-40B4-BE49-F238E27FC236}">
                  <a16:creationId xmlns:a16="http://schemas.microsoft.com/office/drawing/2014/main" id="{BD479562-6902-9ADA-7B6B-4A50E21A62BB}"/>
                </a:ext>
              </a:extLst>
            </xdr:cNvPr>
            <xdr:cNvSpPr txBox="1"/>
          </xdr:nvSpPr>
          <xdr:spPr>
            <a:xfrm>
              <a:off x="-576281" y="3945522"/>
              <a:ext cx="807358" cy="1112354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clip" horzOverflow="clip" vert="horz" wrap="square" lIns="50800" tIns="50800" rIns="50800" bIns="50800" numCol="1" spcCol="38100" rtlCol="0" anchor="t">
              <a:spAutoFit/>
            </a:bodyPr>
            <a:lstStyle/>
            <a:p>
              <a:pPr marL="0" marR="0" indent="0" algn="l" defTabSz="457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6600" b="0" i="0" u="none" strike="noStrike" cap="none" spc="0" normalizeH="0" baseline="0">
                  <a:ln>
                    <a:noFill/>
                  </a:ln>
                  <a:solidFill>
                    <a:schemeClr val="bg1"/>
                  </a:solidFill>
                  <a:effectLst/>
                  <a:uFillTx/>
                  <a:latin typeface="+mn-lt"/>
                  <a:ea typeface="+mn-ea"/>
                  <a:cs typeface="+mn-cs"/>
                  <a:sym typeface="Helvetica Neue"/>
                </a:rPr>
                <a:t>I</a:t>
              </a:r>
            </a:p>
          </xdr:txBody>
        </xdr:sp>
      </xdr:grpSp>
      <xdr:grpSp>
        <xdr:nvGrpSpPr>
          <xdr:cNvPr id="475" name="Group 474">
            <a:extLst>
              <a:ext uri="{FF2B5EF4-FFF2-40B4-BE49-F238E27FC236}">
                <a16:creationId xmlns:a16="http://schemas.microsoft.com/office/drawing/2014/main" id="{9205A5C9-9C1C-C9F7-58FC-BEDF58CF4B42}"/>
              </a:ext>
            </a:extLst>
          </xdr:cNvPr>
          <xdr:cNvGrpSpPr/>
        </xdr:nvGrpSpPr>
        <xdr:grpSpPr>
          <a:xfrm>
            <a:off x="9504396" y="4245611"/>
            <a:ext cx="1606556" cy="760178"/>
            <a:chOff x="5992380" y="4776618"/>
            <a:chExt cx="2499512" cy="1448555"/>
          </a:xfrm>
        </xdr:grpSpPr>
        <xdr:grpSp>
          <xdr:nvGrpSpPr>
            <xdr:cNvPr id="527" name="Group 526">
              <a:extLst>
                <a:ext uri="{FF2B5EF4-FFF2-40B4-BE49-F238E27FC236}">
                  <a16:creationId xmlns:a16="http://schemas.microsoft.com/office/drawing/2014/main" id="{2B3289A4-FBB2-2B1A-7976-07A8348C338F}"/>
                </a:ext>
              </a:extLst>
            </xdr:cNvPr>
            <xdr:cNvGrpSpPr/>
          </xdr:nvGrpSpPr>
          <xdr:grpSpPr>
            <a:xfrm>
              <a:off x="5992380" y="4776618"/>
              <a:ext cx="2499512" cy="1448555"/>
              <a:chOff x="4603061" y="3414662"/>
              <a:chExt cx="2398737" cy="452619"/>
            </a:xfrm>
          </xdr:grpSpPr>
          <xdr:pic>
            <xdr:nvPicPr>
              <xdr:cNvPr id="529" name="Picture 528">
                <a:extLst>
                  <a:ext uri="{FF2B5EF4-FFF2-40B4-BE49-F238E27FC236}">
                    <a16:creationId xmlns:a16="http://schemas.microsoft.com/office/drawing/2014/main" id="{6B658DC4-ADEE-38D6-0DB8-4123758B65E5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"/>
              <a:stretch>
                <a:fillRect/>
              </a:stretch>
            </xdr:blipFill>
            <xdr:spPr>
              <a:xfrm>
                <a:off x="4661213" y="3415817"/>
                <a:ext cx="2340585" cy="451464"/>
              </a:xfrm>
              <a:prstGeom prst="rect">
                <a:avLst/>
              </a:prstGeom>
            </xdr:spPr>
          </xdr:pic>
          <xdr:sp macro="" textlink="">
            <xdr:nvSpPr>
              <xdr:cNvPr id="530" name="Rectangle 529">
                <a:extLst>
                  <a:ext uri="{FF2B5EF4-FFF2-40B4-BE49-F238E27FC236}">
                    <a16:creationId xmlns:a16="http://schemas.microsoft.com/office/drawing/2014/main" id="{F5EE69A7-9C1D-F670-817B-CC3D8E18C39B}"/>
                  </a:ext>
                </a:extLst>
              </xdr:cNvPr>
              <xdr:cNvSpPr/>
            </xdr:nvSpPr>
            <xdr:spPr>
              <a:xfrm>
                <a:off x="4603061" y="3414662"/>
                <a:ext cx="2340589" cy="452619"/>
              </a:xfrm>
              <a:prstGeom prst="rect">
                <a:avLst/>
              </a:prstGeom>
              <a:solidFill>
                <a:schemeClr val="accent1"/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no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528" name="Rectangle 527">
              <a:extLst>
                <a:ext uri="{FF2B5EF4-FFF2-40B4-BE49-F238E27FC236}">
                  <a16:creationId xmlns:a16="http://schemas.microsoft.com/office/drawing/2014/main" id="{7B30B65B-A2E3-C73A-090A-55A5AD30E45B}"/>
                </a:ext>
              </a:extLst>
            </xdr:cNvPr>
            <xdr:cNvSpPr/>
          </xdr:nvSpPr>
          <xdr:spPr>
            <a:xfrm>
              <a:off x="6358435" y="4841861"/>
              <a:ext cx="1433286" cy="1230017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7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J</a:t>
              </a:r>
            </a:p>
          </xdr:txBody>
        </xdr:sp>
      </xdr:grpSp>
      <xdr:grpSp>
        <xdr:nvGrpSpPr>
          <xdr:cNvPr id="476" name="Group 475">
            <a:extLst>
              <a:ext uri="{FF2B5EF4-FFF2-40B4-BE49-F238E27FC236}">
                <a16:creationId xmlns:a16="http://schemas.microsoft.com/office/drawing/2014/main" id="{0EA39292-302E-47C4-D024-4D6606595D75}"/>
              </a:ext>
            </a:extLst>
          </xdr:cNvPr>
          <xdr:cNvGrpSpPr/>
        </xdr:nvGrpSpPr>
        <xdr:grpSpPr>
          <a:xfrm rot="5400000">
            <a:off x="9536201" y="5030102"/>
            <a:ext cx="946615" cy="1808635"/>
            <a:chOff x="1756054" y="10732959"/>
            <a:chExt cx="2272304" cy="2339897"/>
          </a:xfrm>
        </xdr:grpSpPr>
        <xdr:grpSp>
          <xdr:nvGrpSpPr>
            <xdr:cNvPr id="523" name="Group 522">
              <a:extLst>
                <a:ext uri="{FF2B5EF4-FFF2-40B4-BE49-F238E27FC236}">
                  <a16:creationId xmlns:a16="http://schemas.microsoft.com/office/drawing/2014/main" id="{EA0BC9DD-021A-4871-D225-52AD6E8AB4A7}"/>
                </a:ext>
              </a:extLst>
            </xdr:cNvPr>
            <xdr:cNvGrpSpPr/>
          </xdr:nvGrpSpPr>
          <xdr:grpSpPr>
            <a:xfrm>
              <a:off x="1756054" y="10732959"/>
              <a:ext cx="2272304" cy="2339897"/>
              <a:chOff x="2874793" y="3663810"/>
              <a:chExt cx="2834723" cy="878748"/>
            </a:xfrm>
          </xdr:grpSpPr>
          <xdr:pic>
            <xdr:nvPicPr>
              <xdr:cNvPr id="525" name="Picture 524">
                <a:extLst>
                  <a:ext uri="{FF2B5EF4-FFF2-40B4-BE49-F238E27FC236}">
                    <a16:creationId xmlns:a16="http://schemas.microsoft.com/office/drawing/2014/main" id="{D087A659-E388-415A-C464-2B3DCB580C87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"/>
              <a:stretch>
                <a:fillRect/>
              </a:stretch>
            </xdr:blipFill>
            <xdr:spPr>
              <a:xfrm>
                <a:off x="2892223" y="3682734"/>
                <a:ext cx="2817288" cy="859824"/>
              </a:xfrm>
              <a:prstGeom prst="rect">
                <a:avLst/>
              </a:prstGeom>
            </xdr:spPr>
          </xdr:pic>
          <xdr:sp macro="" textlink="">
            <xdr:nvSpPr>
              <xdr:cNvPr id="526" name="Rectangle 525">
                <a:extLst>
                  <a:ext uri="{FF2B5EF4-FFF2-40B4-BE49-F238E27FC236}">
                    <a16:creationId xmlns:a16="http://schemas.microsoft.com/office/drawing/2014/main" id="{C29075A7-36EF-4765-6105-ED6CBAE59127}"/>
                  </a:ext>
                </a:extLst>
              </xdr:cNvPr>
              <xdr:cNvSpPr/>
            </xdr:nvSpPr>
            <xdr:spPr>
              <a:xfrm>
                <a:off x="2874793" y="3663810"/>
                <a:ext cx="2834723" cy="864552"/>
              </a:xfrm>
              <a:prstGeom prst="rect">
                <a:avLst/>
              </a:prstGeom>
              <a:solidFill>
                <a:schemeClr val="accent2">
                  <a:lumMod val="40000"/>
                  <a:lumOff val="60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no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524" name="Rectangle 523">
              <a:extLst>
                <a:ext uri="{FF2B5EF4-FFF2-40B4-BE49-F238E27FC236}">
                  <a16:creationId xmlns:a16="http://schemas.microsoft.com/office/drawing/2014/main" id="{27E4CDAD-7DF3-8AA3-131E-FE8848A30731}"/>
                </a:ext>
              </a:extLst>
            </xdr:cNvPr>
            <xdr:cNvSpPr/>
          </xdr:nvSpPr>
          <xdr:spPr>
            <a:xfrm>
              <a:off x="2233118" y="11385765"/>
              <a:ext cx="952500" cy="948145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54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H</a:t>
              </a:r>
            </a:p>
          </xdr:txBody>
        </xdr:sp>
      </xdr:grpSp>
      <xdr:grpSp>
        <xdr:nvGrpSpPr>
          <xdr:cNvPr id="477" name="Group 476">
            <a:extLst>
              <a:ext uri="{FF2B5EF4-FFF2-40B4-BE49-F238E27FC236}">
                <a16:creationId xmlns:a16="http://schemas.microsoft.com/office/drawing/2014/main" id="{CD33E30E-1841-5566-C1C1-C8121F5E8BB4}"/>
              </a:ext>
            </a:extLst>
          </xdr:cNvPr>
          <xdr:cNvGrpSpPr/>
        </xdr:nvGrpSpPr>
        <xdr:grpSpPr>
          <a:xfrm>
            <a:off x="9274505" y="6400145"/>
            <a:ext cx="1628861" cy="900057"/>
            <a:chOff x="70311" y="7495369"/>
            <a:chExt cx="2616364" cy="2538697"/>
          </a:xfrm>
        </xdr:grpSpPr>
        <xdr:grpSp>
          <xdr:nvGrpSpPr>
            <xdr:cNvPr id="519" name="Group 518">
              <a:extLst>
                <a:ext uri="{FF2B5EF4-FFF2-40B4-BE49-F238E27FC236}">
                  <a16:creationId xmlns:a16="http://schemas.microsoft.com/office/drawing/2014/main" id="{E0AE667C-E680-7735-BCE7-836C63634C3F}"/>
                </a:ext>
              </a:extLst>
            </xdr:cNvPr>
            <xdr:cNvGrpSpPr/>
          </xdr:nvGrpSpPr>
          <xdr:grpSpPr>
            <a:xfrm>
              <a:off x="70311" y="7495369"/>
              <a:ext cx="2616364" cy="2538697"/>
              <a:chOff x="62901" y="606055"/>
              <a:chExt cx="1648538" cy="820118"/>
            </a:xfrm>
          </xdr:grpSpPr>
          <xdr:pic>
            <xdr:nvPicPr>
              <xdr:cNvPr id="521" name="Picture 520">
                <a:extLst>
                  <a:ext uri="{FF2B5EF4-FFF2-40B4-BE49-F238E27FC236}">
                    <a16:creationId xmlns:a16="http://schemas.microsoft.com/office/drawing/2014/main" id="{4D2C68DF-8EC1-A16F-9DE9-56D4163685C2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/>
              <a:stretch>
                <a:fillRect/>
              </a:stretch>
            </xdr:blipFill>
            <xdr:spPr>
              <a:xfrm>
                <a:off x="62901" y="606055"/>
                <a:ext cx="1648538" cy="820118"/>
              </a:xfrm>
              <a:prstGeom prst="rect">
                <a:avLst/>
              </a:prstGeom>
            </xdr:spPr>
          </xdr:pic>
          <xdr:sp macro="" textlink="">
            <xdr:nvSpPr>
              <xdr:cNvPr id="522" name="Rectangle 521">
                <a:extLst>
                  <a:ext uri="{FF2B5EF4-FFF2-40B4-BE49-F238E27FC236}">
                    <a16:creationId xmlns:a16="http://schemas.microsoft.com/office/drawing/2014/main" id="{76713819-395E-88A4-8E39-A729CA9D8FC5}"/>
                  </a:ext>
                </a:extLst>
              </xdr:cNvPr>
              <xdr:cNvSpPr/>
            </xdr:nvSpPr>
            <xdr:spPr>
              <a:xfrm>
                <a:off x="84351" y="609325"/>
                <a:ext cx="1623385" cy="790019"/>
              </a:xfrm>
              <a:prstGeom prst="rect">
                <a:avLst/>
              </a:prstGeom>
              <a:solidFill>
                <a:schemeClr val="accent6">
                  <a:lumMod val="40000"/>
                  <a:lumOff val="60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520" name="Rectangle 519">
              <a:extLst>
                <a:ext uri="{FF2B5EF4-FFF2-40B4-BE49-F238E27FC236}">
                  <a16:creationId xmlns:a16="http://schemas.microsoft.com/office/drawing/2014/main" id="{404E7794-2FBE-D3D0-ECD4-161E8915EC44}"/>
                </a:ext>
              </a:extLst>
            </xdr:cNvPr>
            <xdr:cNvSpPr/>
          </xdr:nvSpPr>
          <xdr:spPr>
            <a:xfrm>
              <a:off x="887503" y="7970185"/>
              <a:ext cx="1019265" cy="1154524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66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L</a:t>
              </a:r>
            </a:p>
          </xdr:txBody>
        </xdr:sp>
      </xdr:grpSp>
      <xdr:grpSp>
        <xdr:nvGrpSpPr>
          <xdr:cNvPr id="478" name="Group 477">
            <a:extLst>
              <a:ext uri="{FF2B5EF4-FFF2-40B4-BE49-F238E27FC236}">
                <a16:creationId xmlns:a16="http://schemas.microsoft.com/office/drawing/2014/main" id="{65AD6A43-010E-23A4-7942-836CA0C419FC}"/>
              </a:ext>
            </a:extLst>
          </xdr:cNvPr>
          <xdr:cNvGrpSpPr/>
        </xdr:nvGrpSpPr>
        <xdr:grpSpPr>
          <a:xfrm>
            <a:off x="10886170" y="6935069"/>
            <a:ext cx="2073396" cy="1309566"/>
            <a:chOff x="2243101" y="11794474"/>
            <a:chExt cx="2614773" cy="3280700"/>
          </a:xfrm>
        </xdr:grpSpPr>
        <xdr:grpSp>
          <xdr:nvGrpSpPr>
            <xdr:cNvPr id="515" name="Group 514">
              <a:extLst>
                <a:ext uri="{FF2B5EF4-FFF2-40B4-BE49-F238E27FC236}">
                  <a16:creationId xmlns:a16="http://schemas.microsoft.com/office/drawing/2014/main" id="{8908561E-7B4A-1229-2424-6192B778A575}"/>
                </a:ext>
              </a:extLst>
            </xdr:cNvPr>
            <xdr:cNvGrpSpPr/>
          </xdr:nvGrpSpPr>
          <xdr:grpSpPr>
            <a:xfrm>
              <a:off x="2243101" y="11794474"/>
              <a:ext cx="2614773" cy="3280700"/>
              <a:chOff x="76496" y="1999015"/>
              <a:chExt cx="1674177" cy="824205"/>
            </a:xfrm>
          </xdr:grpSpPr>
          <xdr:pic>
            <xdr:nvPicPr>
              <xdr:cNvPr id="517" name="Picture 516">
                <a:extLst>
                  <a:ext uri="{FF2B5EF4-FFF2-40B4-BE49-F238E27FC236}">
                    <a16:creationId xmlns:a16="http://schemas.microsoft.com/office/drawing/2014/main" id="{F0A59F77-6EDD-EA65-F68D-F1164F59700A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/>
              <a:stretch>
                <a:fillRect/>
              </a:stretch>
            </xdr:blipFill>
            <xdr:spPr>
              <a:xfrm>
                <a:off x="76496" y="2003102"/>
                <a:ext cx="1648539" cy="820118"/>
              </a:xfrm>
              <a:prstGeom prst="rect">
                <a:avLst/>
              </a:prstGeom>
            </xdr:spPr>
          </xdr:pic>
          <xdr:sp macro="" textlink="">
            <xdr:nvSpPr>
              <xdr:cNvPr id="518" name="Rectangle 517">
                <a:extLst>
                  <a:ext uri="{FF2B5EF4-FFF2-40B4-BE49-F238E27FC236}">
                    <a16:creationId xmlns:a16="http://schemas.microsoft.com/office/drawing/2014/main" id="{B441E4C3-5612-A9CB-18CF-0B5E298ED33E}"/>
                  </a:ext>
                </a:extLst>
              </xdr:cNvPr>
              <xdr:cNvSpPr/>
            </xdr:nvSpPr>
            <xdr:spPr>
              <a:xfrm>
                <a:off x="89523" y="1999015"/>
                <a:ext cx="1661150" cy="804487"/>
              </a:xfrm>
              <a:prstGeom prst="rect">
                <a:avLst/>
              </a:prstGeom>
              <a:solidFill>
                <a:schemeClr val="accent4">
                  <a:lumMod val="60000"/>
                  <a:lumOff val="40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516" name="Rectangle 515">
              <a:extLst>
                <a:ext uri="{FF2B5EF4-FFF2-40B4-BE49-F238E27FC236}">
                  <a16:creationId xmlns:a16="http://schemas.microsoft.com/office/drawing/2014/main" id="{3F260276-DBB3-A920-1F74-8011EF6D08FF}"/>
                </a:ext>
              </a:extLst>
            </xdr:cNvPr>
            <xdr:cNvSpPr/>
          </xdr:nvSpPr>
          <xdr:spPr>
            <a:xfrm>
              <a:off x="3024895" y="12946398"/>
              <a:ext cx="771071" cy="854146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48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M</a:t>
              </a:r>
            </a:p>
          </xdr:txBody>
        </xdr:sp>
      </xdr:grpSp>
      <xdr:grpSp>
        <xdr:nvGrpSpPr>
          <xdr:cNvPr id="479" name="Group 478">
            <a:extLst>
              <a:ext uri="{FF2B5EF4-FFF2-40B4-BE49-F238E27FC236}">
                <a16:creationId xmlns:a16="http://schemas.microsoft.com/office/drawing/2014/main" id="{12136D97-4511-001A-9BFB-B15C6DEFF075}"/>
              </a:ext>
            </a:extLst>
          </xdr:cNvPr>
          <xdr:cNvGrpSpPr/>
        </xdr:nvGrpSpPr>
        <xdr:grpSpPr>
          <a:xfrm>
            <a:off x="8793617" y="3938080"/>
            <a:ext cx="615423" cy="587593"/>
            <a:chOff x="2499490" y="1134878"/>
            <a:chExt cx="1126944" cy="1168228"/>
          </a:xfrm>
        </xdr:grpSpPr>
        <xdr:grpSp>
          <xdr:nvGrpSpPr>
            <xdr:cNvPr id="511" name="Group 510">
              <a:extLst>
                <a:ext uri="{FF2B5EF4-FFF2-40B4-BE49-F238E27FC236}">
                  <a16:creationId xmlns:a16="http://schemas.microsoft.com/office/drawing/2014/main" id="{DF571D5C-45BB-E212-51DA-00493B59D297}"/>
                </a:ext>
              </a:extLst>
            </xdr:cNvPr>
            <xdr:cNvGrpSpPr/>
          </xdr:nvGrpSpPr>
          <xdr:grpSpPr>
            <a:xfrm>
              <a:off x="2499490" y="1134878"/>
              <a:ext cx="1126944" cy="1168228"/>
              <a:chOff x="5406916" y="1910276"/>
              <a:chExt cx="771890" cy="615067"/>
            </a:xfrm>
          </xdr:grpSpPr>
          <xdr:pic>
            <xdr:nvPicPr>
              <xdr:cNvPr id="513" name="Picture 512">
                <a:extLst>
                  <a:ext uri="{FF2B5EF4-FFF2-40B4-BE49-F238E27FC236}">
                    <a16:creationId xmlns:a16="http://schemas.microsoft.com/office/drawing/2014/main" id="{C704FCBC-FF0F-F58E-A2E0-49CF0984A8BB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/>
              <a:stretch>
                <a:fillRect/>
              </a:stretch>
            </xdr:blipFill>
            <xdr:spPr>
              <a:xfrm>
                <a:off x="5406916" y="1915051"/>
                <a:ext cx="771890" cy="610292"/>
              </a:xfrm>
              <a:prstGeom prst="rect">
                <a:avLst/>
              </a:prstGeom>
            </xdr:spPr>
          </xdr:pic>
          <xdr:sp macro="" textlink="">
            <xdr:nvSpPr>
              <xdr:cNvPr id="514" name="Rectangle 513">
                <a:extLst>
                  <a:ext uri="{FF2B5EF4-FFF2-40B4-BE49-F238E27FC236}">
                    <a16:creationId xmlns:a16="http://schemas.microsoft.com/office/drawing/2014/main" id="{278C55ED-CC94-C4EA-FFF9-E606272D1161}"/>
                  </a:ext>
                </a:extLst>
              </xdr:cNvPr>
              <xdr:cNvSpPr/>
            </xdr:nvSpPr>
            <xdr:spPr>
              <a:xfrm>
                <a:off x="5431341" y="1910276"/>
                <a:ext cx="724450" cy="615067"/>
              </a:xfrm>
              <a:prstGeom prst="rect">
                <a:avLst/>
              </a:prstGeom>
              <a:solidFill>
                <a:schemeClr val="bg2">
                  <a:lumMod val="75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no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512" name="Rectangle 511">
              <a:extLst>
                <a:ext uri="{FF2B5EF4-FFF2-40B4-BE49-F238E27FC236}">
                  <a16:creationId xmlns:a16="http://schemas.microsoft.com/office/drawing/2014/main" id="{A15CF748-D2E8-2480-3DBB-4193395AA56E}"/>
                </a:ext>
              </a:extLst>
            </xdr:cNvPr>
            <xdr:cNvSpPr/>
          </xdr:nvSpPr>
          <xdr:spPr>
            <a:xfrm>
              <a:off x="2621686" y="1233750"/>
              <a:ext cx="889000" cy="791562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44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D</a:t>
              </a:r>
            </a:p>
          </xdr:txBody>
        </xdr:sp>
      </xdr:grpSp>
      <xdr:grpSp>
        <xdr:nvGrpSpPr>
          <xdr:cNvPr id="480" name="Group 479">
            <a:extLst>
              <a:ext uri="{FF2B5EF4-FFF2-40B4-BE49-F238E27FC236}">
                <a16:creationId xmlns:a16="http://schemas.microsoft.com/office/drawing/2014/main" id="{5DC221BC-2963-3E2A-F658-F8B6B813751F}"/>
              </a:ext>
            </a:extLst>
          </xdr:cNvPr>
          <xdr:cNvGrpSpPr/>
        </xdr:nvGrpSpPr>
        <xdr:grpSpPr>
          <a:xfrm rot="16200000">
            <a:off x="10475342" y="5858860"/>
            <a:ext cx="1484918" cy="662197"/>
            <a:chOff x="14187076" y="10246898"/>
            <a:chExt cx="1851700" cy="2409967"/>
          </a:xfrm>
        </xdr:grpSpPr>
        <xdr:grpSp>
          <xdr:nvGrpSpPr>
            <xdr:cNvPr id="507" name="Group 506">
              <a:extLst>
                <a:ext uri="{FF2B5EF4-FFF2-40B4-BE49-F238E27FC236}">
                  <a16:creationId xmlns:a16="http://schemas.microsoft.com/office/drawing/2014/main" id="{4F9A0560-FA37-BDAA-1884-282AB3A8B4B5}"/>
                </a:ext>
              </a:extLst>
            </xdr:cNvPr>
            <xdr:cNvGrpSpPr/>
          </xdr:nvGrpSpPr>
          <xdr:grpSpPr>
            <a:xfrm>
              <a:off x="14187076" y="10246898"/>
              <a:ext cx="1851700" cy="2409967"/>
              <a:chOff x="6119351" y="4188469"/>
              <a:chExt cx="1759456" cy="1293974"/>
            </a:xfrm>
          </xdr:grpSpPr>
          <xdr:pic>
            <xdr:nvPicPr>
              <xdr:cNvPr id="509" name="Picture 508">
                <a:extLst>
                  <a:ext uri="{FF2B5EF4-FFF2-40B4-BE49-F238E27FC236}">
                    <a16:creationId xmlns:a16="http://schemas.microsoft.com/office/drawing/2014/main" id="{DD52D138-BB2F-7462-1D73-F9FB51CDC9D9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/>
              <a:stretch>
                <a:fillRect/>
              </a:stretch>
            </xdr:blipFill>
            <xdr:spPr>
              <a:xfrm>
                <a:off x="6119351" y="4188469"/>
                <a:ext cx="1759456" cy="1265809"/>
              </a:xfrm>
              <a:prstGeom prst="rect">
                <a:avLst/>
              </a:prstGeom>
            </xdr:spPr>
          </xdr:pic>
          <xdr:sp macro="" textlink="">
            <xdr:nvSpPr>
              <xdr:cNvPr id="510" name="Rectangle 509">
                <a:extLst>
                  <a:ext uri="{FF2B5EF4-FFF2-40B4-BE49-F238E27FC236}">
                    <a16:creationId xmlns:a16="http://schemas.microsoft.com/office/drawing/2014/main" id="{13D15369-7657-5BE7-8FF5-6DA1553F2C95}"/>
                  </a:ext>
                </a:extLst>
              </xdr:cNvPr>
              <xdr:cNvSpPr/>
            </xdr:nvSpPr>
            <xdr:spPr>
              <a:xfrm>
                <a:off x="6126600" y="4225569"/>
                <a:ext cx="1729460" cy="1256874"/>
              </a:xfrm>
              <a:prstGeom prst="rect">
                <a:avLst/>
              </a:prstGeom>
              <a:solidFill>
                <a:schemeClr val="accent2">
                  <a:lumMod val="75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508" name="Rectangle 507">
              <a:extLst>
                <a:ext uri="{FF2B5EF4-FFF2-40B4-BE49-F238E27FC236}">
                  <a16:creationId xmlns:a16="http://schemas.microsoft.com/office/drawing/2014/main" id="{C64C7F61-66ED-BD79-E3D1-1CC4B056DC03}"/>
                </a:ext>
              </a:extLst>
            </xdr:cNvPr>
            <xdr:cNvSpPr/>
          </xdr:nvSpPr>
          <xdr:spPr>
            <a:xfrm>
              <a:off x="14799470" y="11080552"/>
              <a:ext cx="980077" cy="866482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48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F</a:t>
              </a:r>
            </a:p>
          </xdr:txBody>
        </xdr:sp>
      </xdr:grpSp>
      <xdr:grpSp>
        <xdr:nvGrpSpPr>
          <xdr:cNvPr id="481" name="Group 480">
            <a:extLst>
              <a:ext uri="{FF2B5EF4-FFF2-40B4-BE49-F238E27FC236}">
                <a16:creationId xmlns:a16="http://schemas.microsoft.com/office/drawing/2014/main" id="{9B8E68FF-0EB1-535F-53BA-0F2B6931A196}"/>
              </a:ext>
            </a:extLst>
          </xdr:cNvPr>
          <xdr:cNvGrpSpPr/>
        </xdr:nvGrpSpPr>
        <xdr:grpSpPr>
          <a:xfrm>
            <a:off x="7526751" y="3922981"/>
            <a:ext cx="780027" cy="621891"/>
            <a:chOff x="7403598" y="19633474"/>
            <a:chExt cx="1045755" cy="1580028"/>
          </a:xfrm>
        </xdr:grpSpPr>
        <xdr:grpSp>
          <xdr:nvGrpSpPr>
            <xdr:cNvPr id="503" name="Group 502">
              <a:extLst>
                <a:ext uri="{FF2B5EF4-FFF2-40B4-BE49-F238E27FC236}">
                  <a16:creationId xmlns:a16="http://schemas.microsoft.com/office/drawing/2014/main" id="{CF200026-357E-47C3-45B2-5D50C92114A1}"/>
                </a:ext>
              </a:extLst>
            </xdr:cNvPr>
            <xdr:cNvGrpSpPr/>
          </xdr:nvGrpSpPr>
          <xdr:grpSpPr>
            <a:xfrm>
              <a:off x="7403598" y="19633474"/>
              <a:ext cx="1045755" cy="1580028"/>
              <a:chOff x="6206068" y="1900075"/>
              <a:chExt cx="952443" cy="968395"/>
            </a:xfrm>
          </xdr:grpSpPr>
          <xdr:pic>
            <xdr:nvPicPr>
              <xdr:cNvPr id="505" name="Picture 504">
                <a:extLst>
                  <a:ext uri="{FF2B5EF4-FFF2-40B4-BE49-F238E27FC236}">
                    <a16:creationId xmlns:a16="http://schemas.microsoft.com/office/drawing/2014/main" id="{49C96135-EE6A-8CC0-2CF1-E0F53D9B0C4D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/>
              <a:stretch>
                <a:fillRect/>
              </a:stretch>
            </xdr:blipFill>
            <xdr:spPr>
              <a:xfrm>
                <a:off x="6206068" y="1905000"/>
                <a:ext cx="940556" cy="963470"/>
              </a:xfrm>
              <a:prstGeom prst="rect">
                <a:avLst/>
              </a:prstGeom>
            </xdr:spPr>
          </xdr:pic>
          <xdr:sp macro="" textlink="">
            <xdr:nvSpPr>
              <xdr:cNvPr id="506" name="Rectangle 505">
                <a:extLst>
                  <a:ext uri="{FF2B5EF4-FFF2-40B4-BE49-F238E27FC236}">
                    <a16:creationId xmlns:a16="http://schemas.microsoft.com/office/drawing/2014/main" id="{E361DBE7-C398-48A4-3F7A-9C4D60A97FA7}"/>
                  </a:ext>
                </a:extLst>
              </xdr:cNvPr>
              <xdr:cNvSpPr/>
            </xdr:nvSpPr>
            <xdr:spPr>
              <a:xfrm>
                <a:off x="6206868" y="1900075"/>
                <a:ext cx="951643" cy="968395"/>
              </a:xfrm>
              <a:prstGeom prst="rect">
                <a:avLst/>
              </a:prstGeom>
              <a:solidFill>
                <a:schemeClr val="accent4">
                  <a:lumMod val="50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no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504" name="Rectangle 503">
              <a:extLst>
                <a:ext uri="{FF2B5EF4-FFF2-40B4-BE49-F238E27FC236}">
                  <a16:creationId xmlns:a16="http://schemas.microsoft.com/office/drawing/2014/main" id="{D030C12E-2AFE-7B4E-A543-CBA4ACAE203C}"/>
                </a:ext>
              </a:extLst>
            </xdr:cNvPr>
            <xdr:cNvSpPr/>
          </xdr:nvSpPr>
          <xdr:spPr>
            <a:xfrm>
              <a:off x="7604899" y="20046946"/>
              <a:ext cx="710837" cy="803901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44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B</a:t>
              </a:r>
            </a:p>
          </xdr:txBody>
        </xdr:sp>
      </xdr:grpSp>
      <xdr:grpSp>
        <xdr:nvGrpSpPr>
          <xdr:cNvPr id="482" name="Group 481">
            <a:extLst>
              <a:ext uri="{FF2B5EF4-FFF2-40B4-BE49-F238E27FC236}">
                <a16:creationId xmlns:a16="http://schemas.microsoft.com/office/drawing/2014/main" id="{45DA2C2E-1869-291F-A04C-25F40CE7D2D3}"/>
              </a:ext>
            </a:extLst>
          </xdr:cNvPr>
          <xdr:cNvGrpSpPr/>
        </xdr:nvGrpSpPr>
        <xdr:grpSpPr>
          <a:xfrm>
            <a:off x="8316515" y="3960758"/>
            <a:ext cx="496571" cy="286446"/>
            <a:chOff x="89252" y="1202441"/>
            <a:chExt cx="706241" cy="824886"/>
          </a:xfrm>
        </xdr:grpSpPr>
        <xdr:grpSp>
          <xdr:nvGrpSpPr>
            <xdr:cNvPr id="499" name="Group 498">
              <a:extLst>
                <a:ext uri="{FF2B5EF4-FFF2-40B4-BE49-F238E27FC236}">
                  <a16:creationId xmlns:a16="http://schemas.microsoft.com/office/drawing/2014/main" id="{06DF9270-9DD7-C5CB-4210-7A03CBEC0C17}"/>
                </a:ext>
              </a:extLst>
            </xdr:cNvPr>
            <xdr:cNvGrpSpPr/>
          </xdr:nvGrpSpPr>
          <xdr:grpSpPr>
            <a:xfrm>
              <a:off x="89252" y="1202441"/>
              <a:ext cx="706241" cy="824886"/>
              <a:chOff x="2791981" y="2027526"/>
              <a:chExt cx="818692" cy="859000"/>
            </a:xfrm>
            <a:solidFill>
              <a:schemeClr val="accent2">
                <a:lumMod val="75000"/>
              </a:schemeClr>
            </a:solidFill>
          </xdr:grpSpPr>
          <xdr:pic>
            <xdr:nvPicPr>
              <xdr:cNvPr id="501" name="Picture 500">
                <a:extLst>
                  <a:ext uri="{FF2B5EF4-FFF2-40B4-BE49-F238E27FC236}">
                    <a16:creationId xmlns:a16="http://schemas.microsoft.com/office/drawing/2014/main" id="{E2274B27-6260-5E90-B97C-773470627C6D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/>
              <a:stretch>
                <a:fillRect/>
              </a:stretch>
            </xdr:blipFill>
            <xdr:spPr>
              <a:xfrm>
                <a:off x="2791981" y="2037117"/>
                <a:ext cx="818692" cy="820612"/>
              </a:xfrm>
              <a:prstGeom prst="rect">
                <a:avLst/>
              </a:prstGeom>
              <a:grpFill/>
            </xdr:spPr>
          </xdr:pic>
          <xdr:sp macro="" textlink="">
            <xdr:nvSpPr>
              <xdr:cNvPr id="502" name="Rectangle 501">
                <a:extLst>
                  <a:ext uri="{FF2B5EF4-FFF2-40B4-BE49-F238E27FC236}">
                    <a16:creationId xmlns:a16="http://schemas.microsoft.com/office/drawing/2014/main" id="{73BFD91B-C506-CE9D-BD68-C34F0075D211}"/>
                  </a:ext>
                </a:extLst>
              </xdr:cNvPr>
              <xdr:cNvSpPr/>
            </xdr:nvSpPr>
            <xdr:spPr>
              <a:xfrm>
                <a:off x="2791981" y="2027526"/>
                <a:ext cx="786586" cy="859000"/>
              </a:xfrm>
              <a:prstGeom prst="rect">
                <a:avLst/>
              </a:prstGeom>
              <a:grpFill/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no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500" name="Rectangle 499">
              <a:extLst>
                <a:ext uri="{FF2B5EF4-FFF2-40B4-BE49-F238E27FC236}">
                  <a16:creationId xmlns:a16="http://schemas.microsoft.com/office/drawing/2014/main" id="{0F2AFF86-FC84-4B28-3761-15D1FD0F401B}"/>
                </a:ext>
              </a:extLst>
            </xdr:cNvPr>
            <xdr:cNvSpPr/>
          </xdr:nvSpPr>
          <xdr:spPr>
            <a:xfrm>
              <a:off x="205184" y="1280729"/>
              <a:ext cx="491675" cy="553037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no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36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C</a:t>
              </a:r>
            </a:p>
          </xdr:txBody>
        </xdr:sp>
      </xdr:grpSp>
      <xdr:grpSp>
        <xdr:nvGrpSpPr>
          <xdr:cNvPr id="483" name="Group 482">
            <a:extLst>
              <a:ext uri="{FF2B5EF4-FFF2-40B4-BE49-F238E27FC236}">
                <a16:creationId xmlns:a16="http://schemas.microsoft.com/office/drawing/2014/main" id="{DD6C4278-F43F-80C6-32F7-B80C4A7F50F8}"/>
              </a:ext>
            </a:extLst>
          </xdr:cNvPr>
          <xdr:cNvGrpSpPr/>
        </xdr:nvGrpSpPr>
        <xdr:grpSpPr>
          <a:xfrm>
            <a:off x="11089694" y="4778469"/>
            <a:ext cx="1269279" cy="678630"/>
            <a:chOff x="7921373" y="6800473"/>
            <a:chExt cx="2107274" cy="1726954"/>
          </a:xfrm>
        </xdr:grpSpPr>
        <xdr:grpSp>
          <xdr:nvGrpSpPr>
            <xdr:cNvPr id="495" name="Group 494">
              <a:extLst>
                <a:ext uri="{FF2B5EF4-FFF2-40B4-BE49-F238E27FC236}">
                  <a16:creationId xmlns:a16="http://schemas.microsoft.com/office/drawing/2014/main" id="{F9A6DD48-F445-28B9-5C72-94AEE7DBC97B}"/>
                </a:ext>
              </a:extLst>
            </xdr:cNvPr>
            <xdr:cNvGrpSpPr/>
          </xdr:nvGrpSpPr>
          <xdr:grpSpPr>
            <a:xfrm>
              <a:off x="7921373" y="6800473"/>
              <a:ext cx="2107274" cy="1726954"/>
              <a:chOff x="1126352" y="2635676"/>
              <a:chExt cx="1936959" cy="1040450"/>
            </a:xfrm>
          </xdr:grpSpPr>
          <xdr:pic>
            <xdr:nvPicPr>
              <xdr:cNvPr id="497" name="Picture 496">
                <a:extLst>
                  <a:ext uri="{FF2B5EF4-FFF2-40B4-BE49-F238E27FC236}">
                    <a16:creationId xmlns:a16="http://schemas.microsoft.com/office/drawing/2014/main" id="{CE388F67-ABA3-67CD-353C-F0F248495DF4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/>
              <a:stretch>
                <a:fillRect/>
              </a:stretch>
            </xdr:blipFill>
            <xdr:spPr>
              <a:xfrm>
                <a:off x="1128055" y="2637890"/>
                <a:ext cx="1935256" cy="1038236"/>
              </a:xfrm>
              <a:prstGeom prst="rect">
                <a:avLst/>
              </a:prstGeom>
            </xdr:spPr>
          </xdr:pic>
          <xdr:sp macro="" textlink="">
            <xdr:nvSpPr>
              <xdr:cNvPr id="498" name="Rectangle 497">
                <a:extLst>
                  <a:ext uri="{FF2B5EF4-FFF2-40B4-BE49-F238E27FC236}">
                    <a16:creationId xmlns:a16="http://schemas.microsoft.com/office/drawing/2014/main" id="{4A270039-6F01-FECC-6C35-F1F867E7B43F}"/>
                  </a:ext>
                </a:extLst>
              </xdr:cNvPr>
              <xdr:cNvSpPr/>
            </xdr:nvSpPr>
            <xdr:spPr>
              <a:xfrm>
                <a:off x="1126352" y="2635676"/>
                <a:ext cx="1904606" cy="1025729"/>
              </a:xfrm>
              <a:prstGeom prst="rect">
                <a:avLst/>
              </a:prstGeom>
              <a:solidFill>
                <a:schemeClr val="accent6">
                  <a:lumMod val="20000"/>
                  <a:lumOff val="80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496" name="Rectangle 495">
              <a:extLst>
                <a:ext uri="{FF2B5EF4-FFF2-40B4-BE49-F238E27FC236}">
                  <a16:creationId xmlns:a16="http://schemas.microsoft.com/office/drawing/2014/main" id="{B13BD6BE-8971-9631-A563-B04461DAF7F4}"/>
                </a:ext>
              </a:extLst>
            </xdr:cNvPr>
            <xdr:cNvSpPr/>
          </xdr:nvSpPr>
          <xdr:spPr>
            <a:xfrm>
              <a:off x="8407402" y="6866895"/>
              <a:ext cx="1144094" cy="1624776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3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E</a:t>
              </a:r>
            </a:p>
          </xdr:txBody>
        </xdr:sp>
      </xdr:grpSp>
      <xdr:grpSp>
        <xdr:nvGrpSpPr>
          <xdr:cNvPr id="484" name="Group 483">
            <a:extLst>
              <a:ext uri="{FF2B5EF4-FFF2-40B4-BE49-F238E27FC236}">
                <a16:creationId xmlns:a16="http://schemas.microsoft.com/office/drawing/2014/main" id="{6BBF1334-8E4C-584A-F77A-95DBFB90A8D9}"/>
              </a:ext>
            </a:extLst>
          </xdr:cNvPr>
          <xdr:cNvGrpSpPr/>
        </xdr:nvGrpSpPr>
        <xdr:grpSpPr>
          <a:xfrm>
            <a:off x="9504394" y="4999716"/>
            <a:ext cx="1046170" cy="457376"/>
            <a:chOff x="8099044" y="11522019"/>
            <a:chExt cx="1064533" cy="1336874"/>
          </a:xfrm>
        </xdr:grpSpPr>
        <xdr:grpSp>
          <xdr:nvGrpSpPr>
            <xdr:cNvPr id="491" name="Group 490">
              <a:extLst>
                <a:ext uri="{FF2B5EF4-FFF2-40B4-BE49-F238E27FC236}">
                  <a16:creationId xmlns:a16="http://schemas.microsoft.com/office/drawing/2014/main" id="{6049AB3C-B770-35F0-FE07-1DC926ABF69D}"/>
                </a:ext>
              </a:extLst>
            </xdr:cNvPr>
            <xdr:cNvGrpSpPr/>
          </xdr:nvGrpSpPr>
          <xdr:grpSpPr>
            <a:xfrm>
              <a:off x="8099044" y="11522019"/>
              <a:ext cx="1064533" cy="1336874"/>
              <a:chOff x="3214689" y="1593054"/>
              <a:chExt cx="1578521" cy="1354715"/>
            </a:xfrm>
          </xdr:grpSpPr>
          <xdr:pic>
            <xdr:nvPicPr>
              <xdr:cNvPr id="493" name="Picture 492">
                <a:extLst>
                  <a:ext uri="{FF2B5EF4-FFF2-40B4-BE49-F238E27FC236}">
                    <a16:creationId xmlns:a16="http://schemas.microsoft.com/office/drawing/2014/main" id="{E7E7B033-D88D-0A25-8222-1B6E3B4D0D92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/>
              <a:stretch>
                <a:fillRect/>
              </a:stretch>
            </xdr:blipFill>
            <xdr:spPr>
              <a:xfrm>
                <a:off x="3317530" y="1659309"/>
                <a:ext cx="1475678" cy="1265809"/>
              </a:xfrm>
              <a:prstGeom prst="rect">
                <a:avLst/>
              </a:prstGeom>
            </xdr:spPr>
          </xdr:pic>
          <xdr:sp macro="" textlink="">
            <xdr:nvSpPr>
              <xdr:cNvPr id="494" name="Rectangle 493">
                <a:extLst>
                  <a:ext uri="{FF2B5EF4-FFF2-40B4-BE49-F238E27FC236}">
                    <a16:creationId xmlns:a16="http://schemas.microsoft.com/office/drawing/2014/main" id="{15B46D2F-B4A4-C4C4-7C2D-2649AD7E0B4E}"/>
                  </a:ext>
                </a:extLst>
              </xdr:cNvPr>
              <xdr:cNvSpPr/>
            </xdr:nvSpPr>
            <xdr:spPr>
              <a:xfrm>
                <a:off x="3214689" y="1593054"/>
                <a:ext cx="1578521" cy="1354715"/>
              </a:xfrm>
              <a:prstGeom prst="rect">
                <a:avLst/>
              </a:prstGeom>
              <a:solidFill>
                <a:schemeClr val="accent3">
                  <a:lumMod val="75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no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492" name="Rectangle 491">
              <a:extLst>
                <a:ext uri="{FF2B5EF4-FFF2-40B4-BE49-F238E27FC236}">
                  <a16:creationId xmlns:a16="http://schemas.microsoft.com/office/drawing/2014/main" id="{B8761A71-2702-50D8-0A55-F51BCC521D9F}"/>
                </a:ext>
              </a:extLst>
            </xdr:cNvPr>
            <xdr:cNvSpPr/>
          </xdr:nvSpPr>
          <xdr:spPr>
            <a:xfrm>
              <a:off x="8310687" y="11770552"/>
              <a:ext cx="487680" cy="728918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40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G</a:t>
              </a:r>
            </a:p>
          </xdr:txBody>
        </xdr:sp>
      </xdr:grpSp>
      <xdr:grpSp>
        <xdr:nvGrpSpPr>
          <xdr:cNvPr id="485" name="Group 484">
            <a:extLst>
              <a:ext uri="{FF2B5EF4-FFF2-40B4-BE49-F238E27FC236}">
                <a16:creationId xmlns:a16="http://schemas.microsoft.com/office/drawing/2014/main" id="{D5D006E5-EC3E-0E1C-29AE-9C77CDE679CD}"/>
              </a:ext>
            </a:extLst>
          </xdr:cNvPr>
          <xdr:cNvGrpSpPr/>
        </xdr:nvGrpSpPr>
        <xdr:grpSpPr>
          <a:xfrm>
            <a:off x="9670094" y="7259024"/>
            <a:ext cx="1234598" cy="437511"/>
            <a:chOff x="1152501" y="15436486"/>
            <a:chExt cx="1087120" cy="1201349"/>
          </a:xfrm>
        </xdr:grpSpPr>
        <xdr:grpSp>
          <xdr:nvGrpSpPr>
            <xdr:cNvPr id="487" name="Group 486">
              <a:extLst>
                <a:ext uri="{FF2B5EF4-FFF2-40B4-BE49-F238E27FC236}">
                  <a16:creationId xmlns:a16="http://schemas.microsoft.com/office/drawing/2014/main" id="{5BC8DF9D-3A04-7F0B-EF9B-7013D8ABE4EB}"/>
                </a:ext>
              </a:extLst>
            </xdr:cNvPr>
            <xdr:cNvGrpSpPr/>
          </xdr:nvGrpSpPr>
          <xdr:grpSpPr>
            <a:xfrm>
              <a:off x="1152501" y="15436486"/>
              <a:ext cx="1087120" cy="1201349"/>
              <a:chOff x="-1525" y="586491"/>
              <a:chExt cx="1672192" cy="820118"/>
            </a:xfrm>
          </xdr:grpSpPr>
          <xdr:pic>
            <xdr:nvPicPr>
              <xdr:cNvPr id="489" name="Picture 488">
                <a:extLst>
                  <a:ext uri="{FF2B5EF4-FFF2-40B4-BE49-F238E27FC236}">
                    <a16:creationId xmlns:a16="http://schemas.microsoft.com/office/drawing/2014/main" id="{C1085521-67C2-D879-3DC4-60BD36765C0B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/>
              <a:stretch>
                <a:fillRect/>
              </a:stretch>
            </xdr:blipFill>
            <xdr:spPr>
              <a:xfrm>
                <a:off x="6498" y="586491"/>
                <a:ext cx="1648538" cy="820118"/>
              </a:xfrm>
              <a:prstGeom prst="rect">
                <a:avLst/>
              </a:prstGeom>
            </xdr:spPr>
          </xdr:pic>
          <xdr:sp macro="" textlink="">
            <xdr:nvSpPr>
              <xdr:cNvPr id="490" name="Rectangle 489">
                <a:extLst>
                  <a:ext uri="{FF2B5EF4-FFF2-40B4-BE49-F238E27FC236}">
                    <a16:creationId xmlns:a16="http://schemas.microsoft.com/office/drawing/2014/main" id="{CCAD04E5-42D4-5882-974E-ABF3F18C6E3C}"/>
                  </a:ext>
                </a:extLst>
              </xdr:cNvPr>
              <xdr:cNvSpPr/>
            </xdr:nvSpPr>
            <xdr:spPr>
              <a:xfrm>
                <a:off x="-1525" y="606177"/>
                <a:ext cx="1672192" cy="797625"/>
              </a:xfrm>
              <a:prstGeom prst="rect">
                <a:avLst/>
              </a:prstGeom>
              <a:solidFill>
                <a:schemeClr val="accent6">
                  <a:lumMod val="50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488" name="Rectangle 487">
              <a:extLst>
                <a:ext uri="{FF2B5EF4-FFF2-40B4-BE49-F238E27FC236}">
                  <a16:creationId xmlns:a16="http://schemas.microsoft.com/office/drawing/2014/main" id="{030D30BA-E370-15E3-FA13-AD96A4D8489B}"/>
                </a:ext>
              </a:extLst>
            </xdr:cNvPr>
            <xdr:cNvSpPr/>
          </xdr:nvSpPr>
          <xdr:spPr>
            <a:xfrm>
              <a:off x="1497940" y="15778161"/>
              <a:ext cx="375920" cy="603692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3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K</a:t>
              </a:r>
            </a:p>
          </xdr:txBody>
        </xdr:sp>
      </xdr:grpSp>
      <xdr:sp macro="" textlink="">
        <xdr:nvSpPr>
          <xdr:cNvPr id="486" name="Rectangle 485">
            <a:extLst>
              <a:ext uri="{FF2B5EF4-FFF2-40B4-BE49-F238E27FC236}">
                <a16:creationId xmlns:a16="http://schemas.microsoft.com/office/drawing/2014/main" id="{7B9907FC-9CFD-B311-01AC-BE9A6688742C}"/>
              </a:ext>
            </a:extLst>
          </xdr:cNvPr>
          <xdr:cNvSpPr/>
        </xdr:nvSpPr>
        <xdr:spPr>
          <a:xfrm>
            <a:off x="7547610" y="3927399"/>
            <a:ext cx="5491207" cy="4333568"/>
          </a:xfrm>
          <a:prstGeom prst="rect">
            <a:avLst/>
          </a:prstGeom>
          <a:noFill/>
          <a:ln w="57150" cap="flat">
            <a:solidFill>
              <a:schemeClr val="tx1"/>
            </a:solidFill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no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endParaRPr kumimoji="0" lang="en-US" sz="1200" b="0" i="0" u="none" strike="noStrike" cap="none" spc="0" normalizeH="0" baseline="0">
              <a:ln>
                <a:noFill/>
              </a:ln>
              <a:solidFill>
                <a:srgbClr val="FFFFFF"/>
              </a:solidFill>
              <a:effectLst/>
              <a:uFillTx/>
              <a:latin typeface="Helvetica Neue Medium"/>
              <a:ea typeface="Helvetica Neue Medium"/>
              <a:cs typeface="Helvetica Neue Medium"/>
              <a:sym typeface="Helvetica Neue Medium"/>
            </a:endParaRPr>
          </a:p>
        </xdr:txBody>
      </xdr:sp>
    </xdr:grpSp>
    <xdr:clientData/>
  </xdr:twoCellAnchor>
  <xdr:twoCellAnchor>
    <xdr:from>
      <xdr:col>15</xdr:col>
      <xdr:colOff>561294</xdr:colOff>
      <xdr:row>22</xdr:row>
      <xdr:rowOff>398011</xdr:rowOff>
    </xdr:from>
    <xdr:to>
      <xdr:col>19</xdr:col>
      <xdr:colOff>597580</xdr:colOff>
      <xdr:row>24</xdr:row>
      <xdr:rowOff>1136</xdr:rowOff>
    </xdr:to>
    <xdr:grpSp>
      <xdr:nvGrpSpPr>
        <xdr:cNvPr id="535" name="Group 534">
          <a:extLst>
            <a:ext uri="{FF2B5EF4-FFF2-40B4-BE49-F238E27FC236}">
              <a16:creationId xmlns:a16="http://schemas.microsoft.com/office/drawing/2014/main" id="{7BED7D28-7515-534D-970D-B2EFDF96F86C}"/>
            </a:ext>
          </a:extLst>
        </xdr:cNvPr>
        <xdr:cNvGrpSpPr/>
      </xdr:nvGrpSpPr>
      <xdr:grpSpPr>
        <a:xfrm rot="5400000">
          <a:off x="11064874" y="10595431"/>
          <a:ext cx="619125" cy="2576286"/>
          <a:chOff x="3660365" y="19765723"/>
          <a:chExt cx="1168399" cy="1285796"/>
        </a:xfrm>
      </xdr:grpSpPr>
      <xdr:grpSp>
        <xdr:nvGrpSpPr>
          <xdr:cNvPr id="536" name="Group 535">
            <a:extLst>
              <a:ext uri="{FF2B5EF4-FFF2-40B4-BE49-F238E27FC236}">
                <a16:creationId xmlns:a16="http://schemas.microsoft.com/office/drawing/2014/main" id="{03B36430-133C-7362-6E42-05BB577B63F7}"/>
              </a:ext>
            </a:extLst>
          </xdr:cNvPr>
          <xdr:cNvGrpSpPr/>
        </xdr:nvGrpSpPr>
        <xdr:grpSpPr>
          <a:xfrm>
            <a:off x="3660365" y="19765723"/>
            <a:ext cx="1168399" cy="1285796"/>
            <a:chOff x="3277139" y="1901420"/>
            <a:chExt cx="1326466" cy="1324379"/>
          </a:xfrm>
        </xdr:grpSpPr>
        <xdr:pic>
          <xdr:nvPicPr>
            <xdr:cNvPr id="538" name="Picture 537">
              <a:extLst>
                <a:ext uri="{FF2B5EF4-FFF2-40B4-BE49-F238E27FC236}">
                  <a16:creationId xmlns:a16="http://schemas.microsoft.com/office/drawing/2014/main" id="{0E913CAC-8F17-F042-4D97-C50E3F6ABE3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285067" y="1921933"/>
              <a:ext cx="1303866" cy="1303866"/>
            </a:xfrm>
            <a:prstGeom prst="rect">
              <a:avLst/>
            </a:prstGeom>
          </xdr:spPr>
        </xdr:pic>
        <xdr:sp macro="" textlink="">
          <xdr:nvSpPr>
            <xdr:cNvPr id="539" name="Rectangle 538">
              <a:extLst>
                <a:ext uri="{FF2B5EF4-FFF2-40B4-BE49-F238E27FC236}">
                  <a16:creationId xmlns:a16="http://schemas.microsoft.com/office/drawing/2014/main" id="{470E099D-96B6-D35F-F512-1B0C08752B5B}"/>
                </a:ext>
              </a:extLst>
            </xdr:cNvPr>
            <xdr:cNvSpPr/>
          </xdr:nvSpPr>
          <xdr:spPr>
            <a:xfrm>
              <a:off x="3277139" y="1901420"/>
              <a:ext cx="1326466" cy="1297643"/>
            </a:xfrm>
            <a:prstGeom prst="rect">
              <a:avLst/>
            </a:prstGeom>
            <a:solidFill>
              <a:schemeClr val="bg1">
                <a:lumMod val="65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537" name="Rectangle 536">
            <a:extLst>
              <a:ext uri="{FF2B5EF4-FFF2-40B4-BE49-F238E27FC236}">
                <a16:creationId xmlns:a16="http://schemas.microsoft.com/office/drawing/2014/main" id="{BC2B1091-15D0-55C6-A76B-3F6B805AAD34}"/>
              </a:ext>
            </a:extLst>
          </xdr:cNvPr>
          <xdr:cNvSpPr/>
        </xdr:nvSpPr>
        <xdr:spPr>
          <a:xfrm>
            <a:off x="3884549" y="20015928"/>
            <a:ext cx="518160" cy="728917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0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A</a:t>
            </a:r>
          </a:p>
        </xdr:txBody>
      </xdr:sp>
    </xdr:grpSp>
    <xdr:clientData/>
  </xdr:twoCellAnchor>
  <xdr:twoCellAnchor>
    <xdr:from>
      <xdr:col>15</xdr:col>
      <xdr:colOff>487589</xdr:colOff>
      <xdr:row>19</xdr:row>
      <xdr:rowOff>18142</xdr:rowOff>
    </xdr:from>
    <xdr:to>
      <xdr:col>19</xdr:col>
      <xdr:colOff>505732</xdr:colOff>
      <xdr:row>22</xdr:row>
      <xdr:rowOff>399142</xdr:rowOff>
    </xdr:to>
    <xdr:grpSp>
      <xdr:nvGrpSpPr>
        <xdr:cNvPr id="540" name="Group 539">
          <a:extLst>
            <a:ext uri="{FF2B5EF4-FFF2-40B4-BE49-F238E27FC236}">
              <a16:creationId xmlns:a16="http://schemas.microsoft.com/office/drawing/2014/main" id="{1CB4A367-C635-A54B-BC2A-BD5B20690841}"/>
            </a:ext>
          </a:extLst>
        </xdr:cNvPr>
        <xdr:cNvGrpSpPr/>
      </xdr:nvGrpSpPr>
      <xdr:grpSpPr>
        <a:xfrm rot="5400000">
          <a:off x="10339161" y="9343570"/>
          <a:ext cx="1905000" cy="2558143"/>
          <a:chOff x="7403600" y="19633475"/>
          <a:chExt cx="1431609" cy="2135415"/>
        </a:xfrm>
      </xdr:grpSpPr>
      <xdr:grpSp>
        <xdr:nvGrpSpPr>
          <xdr:cNvPr id="541" name="Group 540">
            <a:extLst>
              <a:ext uri="{FF2B5EF4-FFF2-40B4-BE49-F238E27FC236}">
                <a16:creationId xmlns:a16="http://schemas.microsoft.com/office/drawing/2014/main" id="{203143F0-8659-DA81-983C-4E07439CA44A}"/>
              </a:ext>
            </a:extLst>
          </xdr:cNvPr>
          <xdr:cNvGrpSpPr/>
        </xdr:nvGrpSpPr>
        <xdr:grpSpPr>
          <a:xfrm>
            <a:off x="7403600" y="19633475"/>
            <a:ext cx="1431609" cy="2135415"/>
            <a:chOff x="6206067" y="1900075"/>
            <a:chExt cx="1303867" cy="1308790"/>
          </a:xfrm>
        </xdr:grpSpPr>
        <xdr:pic>
          <xdr:nvPicPr>
            <xdr:cNvPr id="543" name="Picture 542">
              <a:extLst>
                <a:ext uri="{FF2B5EF4-FFF2-40B4-BE49-F238E27FC236}">
                  <a16:creationId xmlns:a16="http://schemas.microsoft.com/office/drawing/2014/main" id="{D68C924D-8CFC-5685-9727-E9CF6D2CE61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6206067" y="1904999"/>
              <a:ext cx="1303866" cy="1303866"/>
            </a:xfrm>
            <a:prstGeom prst="rect">
              <a:avLst/>
            </a:prstGeom>
          </xdr:spPr>
        </xdr:pic>
        <xdr:sp macro="" textlink="">
          <xdr:nvSpPr>
            <xdr:cNvPr id="544" name="Rectangle 543">
              <a:extLst>
                <a:ext uri="{FF2B5EF4-FFF2-40B4-BE49-F238E27FC236}">
                  <a16:creationId xmlns:a16="http://schemas.microsoft.com/office/drawing/2014/main" id="{88369079-370D-3B1B-DE29-11B6BA52D221}"/>
                </a:ext>
              </a:extLst>
            </xdr:cNvPr>
            <xdr:cNvSpPr/>
          </xdr:nvSpPr>
          <xdr:spPr>
            <a:xfrm>
              <a:off x="6206868" y="1900075"/>
              <a:ext cx="1303066" cy="1291865"/>
            </a:xfrm>
            <a:prstGeom prst="rect">
              <a:avLst/>
            </a:prstGeom>
            <a:solidFill>
              <a:schemeClr val="accent4">
                <a:lumMod val="50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542" name="Rectangle 541">
            <a:extLst>
              <a:ext uri="{FF2B5EF4-FFF2-40B4-BE49-F238E27FC236}">
                <a16:creationId xmlns:a16="http://schemas.microsoft.com/office/drawing/2014/main" id="{0CF23EE6-A445-8449-10E7-86B15D7C5B7E}"/>
              </a:ext>
            </a:extLst>
          </xdr:cNvPr>
          <xdr:cNvSpPr/>
        </xdr:nvSpPr>
        <xdr:spPr>
          <a:xfrm>
            <a:off x="7727286" y="20279152"/>
            <a:ext cx="710836" cy="803900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4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B</a:t>
            </a:r>
          </a:p>
        </xdr:txBody>
      </xdr:sp>
    </xdr:grpSp>
    <xdr:clientData/>
  </xdr:twoCellAnchor>
  <xdr:twoCellAnchor>
    <xdr:from>
      <xdr:col>15</xdr:col>
      <xdr:colOff>451408</xdr:colOff>
      <xdr:row>24</xdr:row>
      <xdr:rowOff>13048</xdr:rowOff>
    </xdr:from>
    <xdr:to>
      <xdr:col>20</xdr:col>
      <xdr:colOff>59523</xdr:colOff>
      <xdr:row>27</xdr:row>
      <xdr:rowOff>396979</xdr:rowOff>
    </xdr:to>
    <xdr:grpSp>
      <xdr:nvGrpSpPr>
        <xdr:cNvPr id="545" name="Group 544">
          <a:extLst>
            <a:ext uri="{FF2B5EF4-FFF2-40B4-BE49-F238E27FC236}">
              <a16:creationId xmlns:a16="http://schemas.microsoft.com/office/drawing/2014/main" id="{883B4032-B9CA-1248-A5FE-B30700296422}"/>
            </a:ext>
          </a:extLst>
        </xdr:cNvPr>
        <xdr:cNvGrpSpPr/>
      </xdr:nvGrpSpPr>
      <xdr:grpSpPr>
        <a:xfrm rot="5400000">
          <a:off x="10414000" y="11767456"/>
          <a:ext cx="1907931" cy="2783115"/>
          <a:chOff x="7403600" y="19633475"/>
          <a:chExt cx="1431609" cy="2135415"/>
        </a:xfrm>
      </xdr:grpSpPr>
      <xdr:grpSp>
        <xdr:nvGrpSpPr>
          <xdr:cNvPr id="546" name="Group 545">
            <a:extLst>
              <a:ext uri="{FF2B5EF4-FFF2-40B4-BE49-F238E27FC236}">
                <a16:creationId xmlns:a16="http://schemas.microsoft.com/office/drawing/2014/main" id="{04DAB979-E0F5-F79C-6C95-3E241A0BC352}"/>
              </a:ext>
            </a:extLst>
          </xdr:cNvPr>
          <xdr:cNvGrpSpPr/>
        </xdr:nvGrpSpPr>
        <xdr:grpSpPr>
          <a:xfrm>
            <a:off x="7403600" y="19633475"/>
            <a:ext cx="1431609" cy="2135415"/>
            <a:chOff x="6206067" y="1900075"/>
            <a:chExt cx="1303867" cy="1308790"/>
          </a:xfrm>
        </xdr:grpSpPr>
        <xdr:pic>
          <xdr:nvPicPr>
            <xdr:cNvPr id="548" name="Picture 547">
              <a:extLst>
                <a:ext uri="{FF2B5EF4-FFF2-40B4-BE49-F238E27FC236}">
                  <a16:creationId xmlns:a16="http://schemas.microsoft.com/office/drawing/2014/main" id="{0B2F6E07-CC16-0B7A-9B1A-2DE27BE53B9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6206067" y="1904999"/>
              <a:ext cx="1303866" cy="1303866"/>
            </a:xfrm>
            <a:prstGeom prst="rect">
              <a:avLst/>
            </a:prstGeom>
          </xdr:spPr>
        </xdr:pic>
        <xdr:sp macro="" textlink="">
          <xdr:nvSpPr>
            <xdr:cNvPr id="549" name="Rectangle 548">
              <a:extLst>
                <a:ext uri="{FF2B5EF4-FFF2-40B4-BE49-F238E27FC236}">
                  <a16:creationId xmlns:a16="http://schemas.microsoft.com/office/drawing/2014/main" id="{708F02ED-BCFF-B61D-DC2F-B218E9806441}"/>
                </a:ext>
              </a:extLst>
            </xdr:cNvPr>
            <xdr:cNvSpPr/>
          </xdr:nvSpPr>
          <xdr:spPr>
            <a:xfrm>
              <a:off x="6206868" y="1900075"/>
              <a:ext cx="1303066" cy="1291865"/>
            </a:xfrm>
            <a:prstGeom prst="rect">
              <a:avLst/>
            </a:prstGeom>
            <a:solidFill>
              <a:schemeClr val="accent4">
                <a:lumMod val="50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547" name="Rectangle 546">
            <a:extLst>
              <a:ext uri="{FF2B5EF4-FFF2-40B4-BE49-F238E27FC236}">
                <a16:creationId xmlns:a16="http://schemas.microsoft.com/office/drawing/2014/main" id="{498D17CC-0C3B-F6B7-98BD-E3D69C22D4F3}"/>
              </a:ext>
            </a:extLst>
          </xdr:cNvPr>
          <xdr:cNvSpPr/>
        </xdr:nvSpPr>
        <xdr:spPr>
          <a:xfrm>
            <a:off x="7727286" y="20279152"/>
            <a:ext cx="710836" cy="803900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4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B</a:t>
            </a:r>
          </a:p>
        </xdr:txBody>
      </xdr:sp>
    </xdr:grpSp>
    <xdr:clientData/>
  </xdr:twoCellAnchor>
  <xdr:twoCellAnchor>
    <xdr:from>
      <xdr:col>16</xdr:col>
      <xdr:colOff>431801</xdr:colOff>
      <xdr:row>27</xdr:row>
      <xdr:rowOff>388259</xdr:rowOff>
    </xdr:from>
    <xdr:to>
      <xdr:col>19</xdr:col>
      <xdr:colOff>107951</xdr:colOff>
      <xdr:row>29</xdr:row>
      <xdr:rowOff>39009</xdr:rowOff>
    </xdr:to>
    <xdr:grpSp>
      <xdr:nvGrpSpPr>
        <xdr:cNvPr id="550" name="Group 549">
          <a:extLst>
            <a:ext uri="{FF2B5EF4-FFF2-40B4-BE49-F238E27FC236}">
              <a16:creationId xmlns:a16="http://schemas.microsoft.com/office/drawing/2014/main" id="{7343358E-86A5-6A44-BCD7-97CEEC3CC80A}"/>
            </a:ext>
          </a:extLst>
        </xdr:cNvPr>
        <xdr:cNvGrpSpPr/>
      </xdr:nvGrpSpPr>
      <xdr:grpSpPr>
        <a:xfrm rot="5400000">
          <a:off x="11049001" y="13647059"/>
          <a:ext cx="666750" cy="1581150"/>
          <a:chOff x="486956" y="1091837"/>
          <a:chExt cx="1152433" cy="1261292"/>
        </a:xfrm>
      </xdr:grpSpPr>
      <xdr:grpSp>
        <xdr:nvGrpSpPr>
          <xdr:cNvPr id="551" name="Group 550">
            <a:extLst>
              <a:ext uri="{FF2B5EF4-FFF2-40B4-BE49-F238E27FC236}">
                <a16:creationId xmlns:a16="http://schemas.microsoft.com/office/drawing/2014/main" id="{97142CBD-9DAD-900B-7403-E0AE3751A425}"/>
              </a:ext>
            </a:extLst>
          </xdr:cNvPr>
          <xdr:cNvGrpSpPr/>
        </xdr:nvGrpSpPr>
        <xdr:grpSpPr>
          <a:xfrm>
            <a:off x="486956" y="1091837"/>
            <a:ext cx="1152433" cy="1261292"/>
            <a:chOff x="3253006" y="1912346"/>
            <a:chExt cx="1335928" cy="1313453"/>
          </a:xfrm>
          <a:solidFill>
            <a:schemeClr val="accent2">
              <a:lumMod val="75000"/>
            </a:schemeClr>
          </a:solidFill>
        </xdr:grpSpPr>
        <xdr:pic>
          <xdr:nvPicPr>
            <xdr:cNvPr id="553" name="Picture 552">
              <a:extLst>
                <a:ext uri="{FF2B5EF4-FFF2-40B4-BE49-F238E27FC236}">
                  <a16:creationId xmlns:a16="http://schemas.microsoft.com/office/drawing/2014/main" id="{40337756-09B0-CDC9-7B88-82CDF94C311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285067" y="1921933"/>
              <a:ext cx="1303866" cy="1303866"/>
            </a:xfrm>
            <a:prstGeom prst="rect">
              <a:avLst/>
            </a:prstGeom>
            <a:grpFill/>
          </xdr:spPr>
        </xdr:pic>
        <xdr:sp macro="" textlink="">
          <xdr:nvSpPr>
            <xdr:cNvPr id="554" name="Rectangle 553">
              <a:extLst>
                <a:ext uri="{FF2B5EF4-FFF2-40B4-BE49-F238E27FC236}">
                  <a16:creationId xmlns:a16="http://schemas.microsoft.com/office/drawing/2014/main" id="{3E08BBB8-7C26-73C5-5A3E-FF63A7CCDD2F}"/>
                </a:ext>
              </a:extLst>
            </xdr:cNvPr>
            <xdr:cNvSpPr/>
          </xdr:nvSpPr>
          <xdr:spPr>
            <a:xfrm>
              <a:off x="3253006" y="1912346"/>
              <a:ext cx="1335928" cy="1284690"/>
            </a:xfrm>
            <a:prstGeom prst="rect">
              <a:avLst/>
            </a:prstGeom>
            <a:grpFill/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552" name="Rectangle 551">
            <a:extLst>
              <a:ext uri="{FF2B5EF4-FFF2-40B4-BE49-F238E27FC236}">
                <a16:creationId xmlns:a16="http://schemas.microsoft.com/office/drawing/2014/main" id="{6F25EFB4-5C46-5D8D-A9EA-3393A0D63D86}"/>
              </a:ext>
            </a:extLst>
          </xdr:cNvPr>
          <xdr:cNvSpPr/>
        </xdr:nvSpPr>
        <xdr:spPr>
          <a:xfrm>
            <a:off x="759098" y="1331836"/>
            <a:ext cx="574765" cy="678610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36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C</a:t>
            </a:r>
          </a:p>
        </xdr:txBody>
      </xdr:sp>
    </xdr:grpSp>
    <xdr:clientData/>
  </xdr:twoCellAnchor>
  <xdr:twoCellAnchor>
    <xdr:from>
      <xdr:col>15</xdr:col>
      <xdr:colOff>596901</xdr:colOff>
      <xdr:row>29</xdr:row>
      <xdr:rowOff>34474</xdr:rowOff>
    </xdr:from>
    <xdr:to>
      <xdr:col>19</xdr:col>
      <xdr:colOff>633187</xdr:colOff>
      <xdr:row>32</xdr:row>
      <xdr:rowOff>400958</xdr:rowOff>
    </xdr:to>
    <xdr:grpSp>
      <xdr:nvGrpSpPr>
        <xdr:cNvPr id="555" name="Group 554">
          <a:extLst>
            <a:ext uri="{FF2B5EF4-FFF2-40B4-BE49-F238E27FC236}">
              <a16:creationId xmlns:a16="http://schemas.microsoft.com/office/drawing/2014/main" id="{21DDD73C-DF24-1345-846D-7232FDC11296}"/>
            </a:ext>
          </a:extLst>
        </xdr:cNvPr>
        <xdr:cNvGrpSpPr/>
      </xdr:nvGrpSpPr>
      <xdr:grpSpPr>
        <a:xfrm rot="5400000">
          <a:off x="10464802" y="14423573"/>
          <a:ext cx="1890484" cy="2576286"/>
          <a:chOff x="3655786" y="1115787"/>
          <a:chExt cx="1914071" cy="2485569"/>
        </a:xfrm>
      </xdr:grpSpPr>
      <xdr:grpSp>
        <xdr:nvGrpSpPr>
          <xdr:cNvPr id="556" name="Group 555">
            <a:extLst>
              <a:ext uri="{FF2B5EF4-FFF2-40B4-BE49-F238E27FC236}">
                <a16:creationId xmlns:a16="http://schemas.microsoft.com/office/drawing/2014/main" id="{4189D939-5A18-4845-17DB-B1D1B8135071}"/>
              </a:ext>
            </a:extLst>
          </xdr:cNvPr>
          <xdr:cNvGrpSpPr/>
        </xdr:nvGrpSpPr>
        <xdr:grpSpPr>
          <a:xfrm>
            <a:off x="3655786" y="1115787"/>
            <a:ext cx="1914071" cy="2485569"/>
            <a:chOff x="6198908" y="1900224"/>
            <a:chExt cx="1311025" cy="1308641"/>
          </a:xfrm>
        </xdr:grpSpPr>
        <xdr:pic>
          <xdr:nvPicPr>
            <xdr:cNvPr id="558" name="Picture 557">
              <a:extLst>
                <a:ext uri="{FF2B5EF4-FFF2-40B4-BE49-F238E27FC236}">
                  <a16:creationId xmlns:a16="http://schemas.microsoft.com/office/drawing/2014/main" id="{EA3542AE-BBF9-CB21-5E3A-53B6E6EC6AC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6206067" y="1904999"/>
              <a:ext cx="1303866" cy="1303866"/>
            </a:xfrm>
            <a:prstGeom prst="rect">
              <a:avLst/>
            </a:prstGeom>
          </xdr:spPr>
        </xdr:pic>
        <xdr:sp macro="" textlink="">
          <xdr:nvSpPr>
            <xdr:cNvPr id="559" name="Rectangle 558">
              <a:extLst>
                <a:ext uri="{FF2B5EF4-FFF2-40B4-BE49-F238E27FC236}">
                  <a16:creationId xmlns:a16="http://schemas.microsoft.com/office/drawing/2014/main" id="{4C8407DD-944B-983F-F443-71BFD7E59BF3}"/>
                </a:ext>
              </a:extLst>
            </xdr:cNvPr>
            <xdr:cNvSpPr/>
          </xdr:nvSpPr>
          <xdr:spPr>
            <a:xfrm>
              <a:off x="6198908" y="1900224"/>
              <a:ext cx="1304812" cy="1294313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557" name="Rectangle 556">
            <a:extLst>
              <a:ext uri="{FF2B5EF4-FFF2-40B4-BE49-F238E27FC236}">
                <a16:creationId xmlns:a16="http://schemas.microsoft.com/office/drawing/2014/main" id="{ED0220E4-484B-3A82-6FAE-2DAD10C50AF2}"/>
              </a:ext>
            </a:extLst>
          </xdr:cNvPr>
          <xdr:cNvSpPr/>
        </xdr:nvSpPr>
        <xdr:spPr>
          <a:xfrm>
            <a:off x="4172857" y="1940113"/>
            <a:ext cx="889000" cy="791563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4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D</a:t>
            </a:r>
          </a:p>
        </xdr:txBody>
      </xdr:sp>
    </xdr:grpSp>
    <xdr:clientData/>
  </xdr:twoCellAnchor>
  <xdr:twoCellAnchor>
    <xdr:from>
      <xdr:col>15</xdr:col>
      <xdr:colOff>306145</xdr:colOff>
      <xdr:row>32</xdr:row>
      <xdr:rowOff>372484</xdr:rowOff>
    </xdr:from>
    <xdr:to>
      <xdr:col>20</xdr:col>
      <xdr:colOff>227254</xdr:colOff>
      <xdr:row>36</xdr:row>
      <xdr:rowOff>283584</xdr:rowOff>
    </xdr:to>
    <xdr:grpSp>
      <xdr:nvGrpSpPr>
        <xdr:cNvPr id="560" name="Group 559">
          <a:extLst>
            <a:ext uri="{FF2B5EF4-FFF2-40B4-BE49-F238E27FC236}">
              <a16:creationId xmlns:a16="http://schemas.microsoft.com/office/drawing/2014/main" id="{472EE165-46D8-1D47-9441-0622C5EF70BF}"/>
            </a:ext>
          </a:extLst>
        </xdr:cNvPr>
        <xdr:cNvGrpSpPr/>
      </xdr:nvGrpSpPr>
      <xdr:grpSpPr>
        <a:xfrm rot="5400000">
          <a:off x="10407650" y="16051979"/>
          <a:ext cx="1943100" cy="3096109"/>
          <a:chOff x="497628" y="4987473"/>
          <a:chExt cx="2398809" cy="2478313"/>
        </a:xfrm>
      </xdr:grpSpPr>
      <xdr:grpSp>
        <xdr:nvGrpSpPr>
          <xdr:cNvPr id="561" name="Group 560">
            <a:extLst>
              <a:ext uri="{FF2B5EF4-FFF2-40B4-BE49-F238E27FC236}">
                <a16:creationId xmlns:a16="http://schemas.microsoft.com/office/drawing/2014/main" id="{D474EB41-0FA1-F2C7-77E7-43D7A3D27701}"/>
              </a:ext>
            </a:extLst>
          </xdr:cNvPr>
          <xdr:cNvGrpSpPr/>
        </xdr:nvGrpSpPr>
        <xdr:grpSpPr>
          <a:xfrm>
            <a:off x="497628" y="4987473"/>
            <a:ext cx="2398809" cy="2478313"/>
            <a:chOff x="1837990" y="3480968"/>
            <a:chExt cx="3205603" cy="969032"/>
          </a:xfrm>
        </xdr:grpSpPr>
        <xdr:pic>
          <xdr:nvPicPr>
            <xdr:cNvPr id="563" name="Picture 562">
              <a:extLst>
                <a:ext uri="{FF2B5EF4-FFF2-40B4-BE49-F238E27FC236}">
                  <a16:creationId xmlns:a16="http://schemas.microsoft.com/office/drawing/2014/main" id="{A5077C0F-82BF-28D7-D3EF-D382FEC8F29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1875264" y="3496103"/>
              <a:ext cx="2995072" cy="953897"/>
            </a:xfrm>
            <a:prstGeom prst="rect">
              <a:avLst/>
            </a:prstGeom>
          </xdr:spPr>
        </xdr:pic>
        <xdr:sp macro="" textlink="">
          <xdr:nvSpPr>
            <xdr:cNvPr id="564" name="Rectangle 563">
              <a:extLst>
                <a:ext uri="{FF2B5EF4-FFF2-40B4-BE49-F238E27FC236}">
                  <a16:creationId xmlns:a16="http://schemas.microsoft.com/office/drawing/2014/main" id="{8E550A92-EDEC-F0A9-5230-DF54D38502A2}"/>
                </a:ext>
              </a:extLst>
            </xdr:cNvPr>
            <xdr:cNvSpPr/>
          </xdr:nvSpPr>
          <xdr:spPr>
            <a:xfrm>
              <a:off x="1837990" y="3480968"/>
              <a:ext cx="3205603" cy="954423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no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562" name="TextBox 561">
            <a:extLst>
              <a:ext uri="{FF2B5EF4-FFF2-40B4-BE49-F238E27FC236}">
                <a16:creationId xmlns:a16="http://schemas.microsoft.com/office/drawing/2014/main" id="{D560A6A4-25CF-5CB5-FAC7-E5F72642D73D}"/>
              </a:ext>
            </a:extLst>
          </xdr:cNvPr>
          <xdr:cNvSpPr txBox="1"/>
        </xdr:nvSpPr>
        <xdr:spPr>
          <a:xfrm>
            <a:off x="1293989" y="5807089"/>
            <a:ext cx="1050402" cy="693474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clip" horzOverflow="clip" vert="horz" wrap="square" lIns="50800" tIns="50800" rIns="50800" bIns="50800" numCol="1" spcCol="38100" rtlCol="0" anchor="t">
            <a:noAutofit/>
          </a:bodyPr>
          <a:lstStyle/>
          <a:p>
            <a:pPr marL="0" marR="0" indent="0" algn="l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6600" b="0" i="0" u="none" strike="noStrike" cap="none" spc="0" normalizeH="0" baseline="0">
                <a:ln>
                  <a:noFill/>
                </a:ln>
                <a:solidFill>
                  <a:schemeClr val="bg1"/>
                </a:solidFill>
                <a:effectLst/>
                <a:uFillTx/>
                <a:latin typeface="+mn-lt"/>
                <a:ea typeface="+mn-ea"/>
                <a:cs typeface="+mn-cs"/>
                <a:sym typeface="Helvetica Neue"/>
              </a:rPr>
              <a:t>I</a:t>
            </a:r>
          </a:p>
        </xdr:txBody>
      </xdr:sp>
    </xdr:grpSp>
    <xdr:clientData/>
  </xdr:twoCellAnchor>
  <xdr:twoCellAnchor>
    <xdr:from>
      <xdr:col>18</xdr:col>
      <xdr:colOff>590777</xdr:colOff>
      <xdr:row>21</xdr:row>
      <xdr:rowOff>273276</xdr:rowOff>
    </xdr:from>
    <xdr:to>
      <xdr:col>19</xdr:col>
      <xdr:colOff>463777</xdr:colOff>
      <xdr:row>23</xdr:row>
      <xdr:rowOff>98651</xdr:rowOff>
    </xdr:to>
    <xdr:sp macro="" textlink="">
      <xdr:nvSpPr>
        <xdr:cNvPr id="565" name="Right Arrow 564">
          <a:extLst>
            <a:ext uri="{FF2B5EF4-FFF2-40B4-BE49-F238E27FC236}">
              <a16:creationId xmlns:a16="http://schemas.microsoft.com/office/drawing/2014/main" id="{8DDE891E-DA1E-9949-9DD4-AC686C7F35DE}"/>
            </a:ext>
          </a:extLst>
        </xdr:cNvPr>
        <xdr:cNvSpPr/>
      </xdr:nvSpPr>
      <xdr:spPr>
        <a:xfrm rot="5400000">
          <a:off x="11854089" y="11107964"/>
          <a:ext cx="841375" cy="508000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465900</xdr:colOff>
      <xdr:row>32</xdr:row>
      <xdr:rowOff>164276</xdr:rowOff>
    </xdr:from>
    <xdr:to>
      <xdr:col>18</xdr:col>
      <xdr:colOff>348262</xdr:colOff>
      <xdr:row>33</xdr:row>
      <xdr:rowOff>402400</xdr:rowOff>
    </xdr:to>
    <xdr:sp macro="" textlink="">
      <xdr:nvSpPr>
        <xdr:cNvPr id="566" name="Right Arrow 565">
          <a:extLst>
            <a:ext uri="{FF2B5EF4-FFF2-40B4-BE49-F238E27FC236}">
              <a16:creationId xmlns:a16="http://schemas.microsoft.com/office/drawing/2014/main" id="{9EDBE0F8-6A3B-C347-86C1-D512B1246CCA}"/>
            </a:ext>
          </a:extLst>
        </xdr:cNvPr>
        <xdr:cNvSpPr/>
      </xdr:nvSpPr>
      <xdr:spPr>
        <a:xfrm rot="5400000">
          <a:off x="11146519" y="16534657"/>
          <a:ext cx="746124" cy="517362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412750</xdr:colOff>
      <xdr:row>28</xdr:row>
      <xdr:rowOff>231321</xdr:rowOff>
    </xdr:from>
    <xdr:to>
      <xdr:col>17</xdr:col>
      <xdr:colOff>269875</xdr:colOff>
      <xdr:row>30</xdr:row>
      <xdr:rowOff>151946</xdr:rowOff>
    </xdr:to>
    <xdr:sp macro="" textlink="">
      <xdr:nvSpPr>
        <xdr:cNvPr id="567" name="Right Arrow 566">
          <a:extLst>
            <a:ext uri="{FF2B5EF4-FFF2-40B4-BE49-F238E27FC236}">
              <a16:creationId xmlns:a16="http://schemas.microsoft.com/office/drawing/2014/main" id="{1719B16D-377B-0B49-B91D-A86079F1FD2A}"/>
            </a:ext>
          </a:extLst>
        </xdr:cNvPr>
        <xdr:cNvSpPr/>
      </xdr:nvSpPr>
      <xdr:spPr>
        <a:xfrm rot="5400000">
          <a:off x="10350500" y="14677571"/>
          <a:ext cx="936625" cy="492125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151248</xdr:colOff>
      <xdr:row>23</xdr:row>
      <xdr:rowOff>115663</xdr:rowOff>
    </xdr:from>
    <xdr:to>
      <xdr:col>16</xdr:col>
      <xdr:colOff>605517</xdr:colOff>
      <xdr:row>24</xdr:row>
      <xdr:rowOff>391643</xdr:rowOff>
    </xdr:to>
    <xdr:sp macro="" textlink="">
      <xdr:nvSpPr>
        <xdr:cNvPr id="568" name="Right Arrow 567">
          <a:extLst>
            <a:ext uri="{FF2B5EF4-FFF2-40B4-BE49-F238E27FC236}">
              <a16:creationId xmlns:a16="http://schemas.microsoft.com/office/drawing/2014/main" id="{BCFAD1AA-24E5-884F-AF57-997EC29A6511}"/>
            </a:ext>
          </a:extLst>
        </xdr:cNvPr>
        <xdr:cNvSpPr/>
      </xdr:nvSpPr>
      <xdr:spPr>
        <a:xfrm rot="5400000">
          <a:off x="10146393" y="11964518"/>
          <a:ext cx="783980" cy="454269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268711</xdr:colOff>
      <xdr:row>27</xdr:row>
      <xdr:rowOff>96414</xdr:rowOff>
    </xdr:from>
    <xdr:to>
      <xdr:col>19</xdr:col>
      <xdr:colOff>30586</xdr:colOff>
      <xdr:row>28</xdr:row>
      <xdr:rowOff>259641</xdr:rowOff>
    </xdr:to>
    <xdr:sp macro="" textlink="">
      <xdr:nvSpPr>
        <xdr:cNvPr id="570" name="Right Arrow 569">
          <a:extLst>
            <a:ext uri="{FF2B5EF4-FFF2-40B4-BE49-F238E27FC236}">
              <a16:creationId xmlns:a16="http://schemas.microsoft.com/office/drawing/2014/main" id="{C8AC54CB-ACF5-8740-BD40-16A2856E645B}"/>
            </a:ext>
          </a:extLst>
        </xdr:cNvPr>
        <xdr:cNvSpPr/>
      </xdr:nvSpPr>
      <xdr:spPr>
        <a:xfrm rot="5400000">
          <a:off x="11561535" y="13949590"/>
          <a:ext cx="671227" cy="396875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43</xdr:col>
      <xdr:colOff>507999</xdr:colOff>
      <xdr:row>33</xdr:row>
      <xdr:rowOff>12700</xdr:rowOff>
    </xdr:from>
    <xdr:to>
      <xdr:col>44</xdr:col>
      <xdr:colOff>495300</xdr:colOff>
      <xdr:row>35</xdr:row>
      <xdr:rowOff>12700</xdr:rowOff>
    </xdr:to>
    <xdr:grpSp>
      <xdr:nvGrpSpPr>
        <xdr:cNvPr id="571" name="Group 570">
          <a:extLst>
            <a:ext uri="{FF2B5EF4-FFF2-40B4-BE49-F238E27FC236}">
              <a16:creationId xmlns:a16="http://schemas.microsoft.com/office/drawing/2014/main" id="{CAB8959D-CA78-5148-AC57-94BC6EDAA238}"/>
            </a:ext>
          </a:extLst>
        </xdr:cNvPr>
        <xdr:cNvGrpSpPr/>
      </xdr:nvGrpSpPr>
      <xdr:grpSpPr>
        <a:xfrm>
          <a:off x="28797249" y="16776700"/>
          <a:ext cx="622301" cy="1016000"/>
          <a:chOff x="3660365" y="19765723"/>
          <a:chExt cx="1168399" cy="1285796"/>
        </a:xfrm>
      </xdr:grpSpPr>
      <xdr:grpSp>
        <xdr:nvGrpSpPr>
          <xdr:cNvPr id="572" name="Group 571">
            <a:extLst>
              <a:ext uri="{FF2B5EF4-FFF2-40B4-BE49-F238E27FC236}">
                <a16:creationId xmlns:a16="http://schemas.microsoft.com/office/drawing/2014/main" id="{6A617C0C-4301-FD4C-7607-B1EDB5DA9A3F}"/>
              </a:ext>
            </a:extLst>
          </xdr:cNvPr>
          <xdr:cNvGrpSpPr/>
        </xdr:nvGrpSpPr>
        <xdr:grpSpPr>
          <a:xfrm>
            <a:off x="3660365" y="19765723"/>
            <a:ext cx="1168399" cy="1285796"/>
            <a:chOff x="3277139" y="1901420"/>
            <a:chExt cx="1326466" cy="1324379"/>
          </a:xfrm>
        </xdr:grpSpPr>
        <xdr:pic>
          <xdr:nvPicPr>
            <xdr:cNvPr id="574" name="Picture 573">
              <a:extLst>
                <a:ext uri="{FF2B5EF4-FFF2-40B4-BE49-F238E27FC236}">
                  <a16:creationId xmlns:a16="http://schemas.microsoft.com/office/drawing/2014/main" id="{180B9E38-EB7B-A169-2D37-6EAFDEEB6EC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285067" y="1921933"/>
              <a:ext cx="1303866" cy="1303866"/>
            </a:xfrm>
            <a:prstGeom prst="rect">
              <a:avLst/>
            </a:prstGeom>
          </xdr:spPr>
        </xdr:pic>
        <xdr:sp macro="" textlink="">
          <xdr:nvSpPr>
            <xdr:cNvPr id="575" name="Rectangle 574">
              <a:extLst>
                <a:ext uri="{FF2B5EF4-FFF2-40B4-BE49-F238E27FC236}">
                  <a16:creationId xmlns:a16="http://schemas.microsoft.com/office/drawing/2014/main" id="{9CA3B285-E409-F2B4-C223-17284A3D5AFD}"/>
                </a:ext>
              </a:extLst>
            </xdr:cNvPr>
            <xdr:cNvSpPr/>
          </xdr:nvSpPr>
          <xdr:spPr>
            <a:xfrm>
              <a:off x="3277139" y="1901420"/>
              <a:ext cx="1326466" cy="1297643"/>
            </a:xfrm>
            <a:prstGeom prst="rect">
              <a:avLst/>
            </a:prstGeom>
            <a:solidFill>
              <a:schemeClr val="accent1">
                <a:lumMod val="75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573" name="Rectangle 572">
            <a:extLst>
              <a:ext uri="{FF2B5EF4-FFF2-40B4-BE49-F238E27FC236}">
                <a16:creationId xmlns:a16="http://schemas.microsoft.com/office/drawing/2014/main" id="{F633030C-E277-CF67-4643-263215730630}"/>
              </a:ext>
            </a:extLst>
          </xdr:cNvPr>
          <xdr:cNvSpPr/>
        </xdr:nvSpPr>
        <xdr:spPr>
          <a:xfrm>
            <a:off x="3884548" y="19864627"/>
            <a:ext cx="768957" cy="1087981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no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0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C</a:t>
            </a:r>
          </a:p>
        </xdr:txBody>
      </xdr:sp>
    </xdr:grpSp>
    <xdr:clientData/>
  </xdr:twoCellAnchor>
  <xdr:twoCellAnchor>
    <xdr:from>
      <xdr:col>43</xdr:col>
      <xdr:colOff>0</xdr:colOff>
      <xdr:row>32</xdr:row>
      <xdr:rowOff>0</xdr:rowOff>
    </xdr:from>
    <xdr:to>
      <xdr:col>44</xdr:col>
      <xdr:colOff>0</xdr:colOff>
      <xdr:row>36</xdr:row>
      <xdr:rowOff>25400</xdr:rowOff>
    </xdr:to>
    <xdr:grpSp>
      <xdr:nvGrpSpPr>
        <xdr:cNvPr id="576" name="Group 575">
          <a:extLst>
            <a:ext uri="{FF2B5EF4-FFF2-40B4-BE49-F238E27FC236}">
              <a16:creationId xmlns:a16="http://schemas.microsoft.com/office/drawing/2014/main" id="{69CC0C8E-BB1A-A847-B9AE-62E5AA42F9F2}"/>
            </a:ext>
          </a:extLst>
        </xdr:cNvPr>
        <xdr:cNvGrpSpPr/>
      </xdr:nvGrpSpPr>
      <xdr:grpSpPr>
        <a:xfrm>
          <a:off x="28289250" y="16256000"/>
          <a:ext cx="635000" cy="2057400"/>
          <a:chOff x="7403600" y="19633475"/>
          <a:chExt cx="1431609" cy="2135415"/>
        </a:xfrm>
        <a:solidFill>
          <a:schemeClr val="bg1">
            <a:lumMod val="50000"/>
          </a:schemeClr>
        </a:solidFill>
      </xdr:grpSpPr>
      <xdr:grpSp>
        <xdr:nvGrpSpPr>
          <xdr:cNvPr id="577" name="Group 576">
            <a:extLst>
              <a:ext uri="{FF2B5EF4-FFF2-40B4-BE49-F238E27FC236}">
                <a16:creationId xmlns:a16="http://schemas.microsoft.com/office/drawing/2014/main" id="{E47435F4-2BB7-A0AC-D0E6-621B8ECD0349}"/>
              </a:ext>
            </a:extLst>
          </xdr:cNvPr>
          <xdr:cNvGrpSpPr/>
        </xdr:nvGrpSpPr>
        <xdr:grpSpPr>
          <a:xfrm>
            <a:off x="7403600" y="19633475"/>
            <a:ext cx="1431609" cy="2135415"/>
            <a:chOff x="6206067" y="1900075"/>
            <a:chExt cx="1303867" cy="1308790"/>
          </a:xfrm>
          <a:grpFill/>
        </xdr:grpSpPr>
        <xdr:pic>
          <xdr:nvPicPr>
            <xdr:cNvPr id="579" name="Picture 578">
              <a:extLst>
                <a:ext uri="{FF2B5EF4-FFF2-40B4-BE49-F238E27FC236}">
                  <a16:creationId xmlns:a16="http://schemas.microsoft.com/office/drawing/2014/main" id="{77B9B47E-E3D6-45BC-2FF0-A4BCC63DE3A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6206067" y="1904999"/>
              <a:ext cx="1303866" cy="1303866"/>
            </a:xfrm>
            <a:prstGeom prst="rect">
              <a:avLst/>
            </a:prstGeom>
            <a:grpFill/>
          </xdr:spPr>
        </xdr:pic>
        <xdr:sp macro="" textlink="">
          <xdr:nvSpPr>
            <xdr:cNvPr id="580" name="Rectangle 579">
              <a:extLst>
                <a:ext uri="{FF2B5EF4-FFF2-40B4-BE49-F238E27FC236}">
                  <a16:creationId xmlns:a16="http://schemas.microsoft.com/office/drawing/2014/main" id="{B8D14FEC-0FC0-606F-BF54-5B6891306BD0}"/>
                </a:ext>
              </a:extLst>
            </xdr:cNvPr>
            <xdr:cNvSpPr/>
          </xdr:nvSpPr>
          <xdr:spPr>
            <a:xfrm>
              <a:off x="6206868" y="1900075"/>
              <a:ext cx="1303066" cy="1291865"/>
            </a:xfrm>
            <a:prstGeom prst="rect">
              <a:avLst/>
            </a:prstGeom>
            <a:grpFill/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578" name="Rectangle 577">
            <a:extLst>
              <a:ext uri="{FF2B5EF4-FFF2-40B4-BE49-F238E27FC236}">
                <a16:creationId xmlns:a16="http://schemas.microsoft.com/office/drawing/2014/main" id="{2EBBB662-8ADB-703A-5DCE-C3B2669FEBA3}"/>
              </a:ext>
            </a:extLst>
          </xdr:cNvPr>
          <xdr:cNvSpPr/>
        </xdr:nvSpPr>
        <xdr:spPr>
          <a:xfrm>
            <a:off x="7727286" y="20094729"/>
            <a:ext cx="793667" cy="1255620"/>
          </a:xfrm>
          <a:prstGeom prst="rect">
            <a:avLst/>
          </a:prstGeom>
          <a:solidFill>
            <a:schemeClr val="tx1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4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A</a:t>
            </a:r>
          </a:p>
        </xdr:txBody>
      </xdr:sp>
    </xdr:grpSp>
    <xdr:clientData/>
  </xdr:twoCellAnchor>
  <xdr:twoCellAnchor>
    <xdr:from>
      <xdr:col>44</xdr:col>
      <xdr:colOff>495300</xdr:colOff>
      <xdr:row>32</xdr:row>
      <xdr:rowOff>101600</xdr:rowOff>
    </xdr:from>
    <xdr:to>
      <xdr:col>47</xdr:col>
      <xdr:colOff>25400</xdr:colOff>
      <xdr:row>35</xdr:row>
      <xdr:rowOff>393700</xdr:rowOff>
    </xdr:to>
    <xdr:grpSp>
      <xdr:nvGrpSpPr>
        <xdr:cNvPr id="581" name="Group 580">
          <a:extLst>
            <a:ext uri="{FF2B5EF4-FFF2-40B4-BE49-F238E27FC236}">
              <a16:creationId xmlns:a16="http://schemas.microsoft.com/office/drawing/2014/main" id="{BC02A5BC-A0ED-FA46-9204-B098B4BD9FE5}"/>
            </a:ext>
          </a:extLst>
        </xdr:cNvPr>
        <xdr:cNvGrpSpPr/>
      </xdr:nvGrpSpPr>
      <xdr:grpSpPr>
        <a:xfrm>
          <a:off x="29419550" y="16357600"/>
          <a:ext cx="1435100" cy="1816100"/>
          <a:chOff x="7403600" y="19633475"/>
          <a:chExt cx="1431609" cy="2135415"/>
        </a:xfrm>
      </xdr:grpSpPr>
      <xdr:grpSp>
        <xdr:nvGrpSpPr>
          <xdr:cNvPr id="582" name="Group 581">
            <a:extLst>
              <a:ext uri="{FF2B5EF4-FFF2-40B4-BE49-F238E27FC236}">
                <a16:creationId xmlns:a16="http://schemas.microsoft.com/office/drawing/2014/main" id="{13E5B120-8BFA-29E4-39AE-ECEDEC1B29C1}"/>
              </a:ext>
            </a:extLst>
          </xdr:cNvPr>
          <xdr:cNvGrpSpPr/>
        </xdr:nvGrpSpPr>
        <xdr:grpSpPr>
          <a:xfrm>
            <a:off x="7403600" y="19633475"/>
            <a:ext cx="1431609" cy="2135415"/>
            <a:chOff x="6206067" y="1900075"/>
            <a:chExt cx="1303867" cy="1308790"/>
          </a:xfrm>
        </xdr:grpSpPr>
        <xdr:pic>
          <xdr:nvPicPr>
            <xdr:cNvPr id="584" name="Picture 583">
              <a:extLst>
                <a:ext uri="{FF2B5EF4-FFF2-40B4-BE49-F238E27FC236}">
                  <a16:creationId xmlns:a16="http://schemas.microsoft.com/office/drawing/2014/main" id="{5EC42C21-BB09-F839-B2A9-3788383B868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6206067" y="1904999"/>
              <a:ext cx="1303866" cy="1303866"/>
            </a:xfrm>
            <a:prstGeom prst="rect">
              <a:avLst/>
            </a:prstGeom>
          </xdr:spPr>
        </xdr:pic>
        <xdr:sp macro="" textlink="">
          <xdr:nvSpPr>
            <xdr:cNvPr id="585" name="Rectangle 584">
              <a:extLst>
                <a:ext uri="{FF2B5EF4-FFF2-40B4-BE49-F238E27FC236}">
                  <a16:creationId xmlns:a16="http://schemas.microsoft.com/office/drawing/2014/main" id="{E44428B1-FBA5-732A-90FE-4F1415EBE365}"/>
                </a:ext>
              </a:extLst>
            </xdr:cNvPr>
            <xdr:cNvSpPr/>
          </xdr:nvSpPr>
          <xdr:spPr>
            <a:xfrm>
              <a:off x="6206869" y="1900075"/>
              <a:ext cx="1303065" cy="1291865"/>
            </a:xfrm>
            <a:prstGeom prst="rect">
              <a:avLst/>
            </a:prstGeom>
            <a:solidFill>
              <a:schemeClr val="accent4">
                <a:lumMod val="50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583" name="Rectangle 582">
            <a:extLst>
              <a:ext uri="{FF2B5EF4-FFF2-40B4-BE49-F238E27FC236}">
                <a16:creationId xmlns:a16="http://schemas.microsoft.com/office/drawing/2014/main" id="{FD4493CF-B678-AA7F-CFBF-11BB10F0DE51}"/>
              </a:ext>
            </a:extLst>
          </xdr:cNvPr>
          <xdr:cNvSpPr/>
        </xdr:nvSpPr>
        <xdr:spPr>
          <a:xfrm>
            <a:off x="7727285" y="20325231"/>
            <a:ext cx="710837" cy="711742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4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D</a:t>
            </a:r>
          </a:p>
        </xdr:txBody>
      </xdr:sp>
    </xdr:grpSp>
    <xdr:clientData/>
  </xdr:twoCellAnchor>
  <xdr:twoCellAnchor>
    <xdr:from>
      <xdr:col>47</xdr:col>
      <xdr:colOff>12701</xdr:colOff>
      <xdr:row>31</xdr:row>
      <xdr:rowOff>495300</xdr:rowOff>
    </xdr:from>
    <xdr:to>
      <xdr:col>49</xdr:col>
      <xdr:colOff>0</xdr:colOff>
      <xdr:row>36</xdr:row>
      <xdr:rowOff>12700</xdr:rowOff>
    </xdr:to>
    <xdr:grpSp>
      <xdr:nvGrpSpPr>
        <xdr:cNvPr id="586" name="Group 585">
          <a:extLst>
            <a:ext uri="{FF2B5EF4-FFF2-40B4-BE49-F238E27FC236}">
              <a16:creationId xmlns:a16="http://schemas.microsoft.com/office/drawing/2014/main" id="{9A12512B-23BF-2744-BE2B-D60F0B730A88}"/>
            </a:ext>
          </a:extLst>
        </xdr:cNvPr>
        <xdr:cNvGrpSpPr/>
      </xdr:nvGrpSpPr>
      <xdr:grpSpPr>
        <a:xfrm>
          <a:off x="30841951" y="16243300"/>
          <a:ext cx="1257299" cy="2057400"/>
          <a:chOff x="486956" y="1091837"/>
          <a:chExt cx="1152433" cy="1233671"/>
        </a:xfrm>
      </xdr:grpSpPr>
      <xdr:grpSp>
        <xdr:nvGrpSpPr>
          <xdr:cNvPr id="587" name="Group 586">
            <a:extLst>
              <a:ext uri="{FF2B5EF4-FFF2-40B4-BE49-F238E27FC236}">
                <a16:creationId xmlns:a16="http://schemas.microsoft.com/office/drawing/2014/main" id="{5292F8D1-38DE-03EE-83CC-BC9BDFD91D79}"/>
              </a:ext>
            </a:extLst>
          </xdr:cNvPr>
          <xdr:cNvGrpSpPr/>
        </xdr:nvGrpSpPr>
        <xdr:grpSpPr>
          <a:xfrm>
            <a:off x="486956" y="1091837"/>
            <a:ext cx="1152433" cy="1233671"/>
            <a:chOff x="3253006" y="1912346"/>
            <a:chExt cx="1335928" cy="1284690"/>
          </a:xfrm>
          <a:solidFill>
            <a:schemeClr val="accent2">
              <a:lumMod val="75000"/>
            </a:schemeClr>
          </a:solidFill>
        </xdr:grpSpPr>
        <xdr:pic>
          <xdr:nvPicPr>
            <xdr:cNvPr id="589" name="Picture 588">
              <a:extLst>
                <a:ext uri="{FF2B5EF4-FFF2-40B4-BE49-F238E27FC236}">
                  <a16:creationId xmlns:a16="http://schemas.microsoft.com/office/drawing/2014/main" id="{D8BFA680-3A23-9738-7A31-5EDD95198A4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285067" y="1921933"/>
              <a:ext cx="1303866" cy="1271335"/>
            </a:xfrm>
            <a:prstGeom prst="rect">
              <a:avLst/>
            </a:prstGeom>
            <a:grpFill/>
          </xdr:spPr>
        </xdr:pic>
        <xdr:sp macro="" textlink="">
          <xdr:nvSpPr>
            <xdr:cNvPr id="590" name="Rectangle 589">
              <a:extLst>
                <a:ext uri="{FF2B5EF4-FFF2-40B4-BE49-F238E27FC236}">
                  <a16:creationId xmlns:a16="http://schemas.microsoft.com/office/drawing/2014/main" id="{84D134A5-919A-6218-A3B4-62EEA7469CB5}"/>
                </a:ext>
              </a:extLst>
            </xdr:cNvPr>
            <xdr:cNvSpPr/>
          </xdr:nvSpPr>
          <xdr:spPr>
            <a:xfrm>
              <a:off x="3253006" y="1912346"/>
              <a:ext cx="1335928" cy="1284690"/>
            </a:xfrm>
            <a:prstGeom prst="rect">
              <a:avLst/>
            </a:prstGeom>
            <a:grpFill/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588" name="Rectangle 587">
            <a:extLst>
              <a:ext uri="{FF2B5EF4-FFF2-40B4-BE49-F238E27FC236}">
                <a16:creationId xmlns:a16="http://schemas.microsoft.com/office/drawing/2014/main" id="{BABE8197-3BBE-D2B3-B285-8CD7D1542824}"/>
              </a:ext>
            </a:extLst>
          </xdr:cNvPr>
          <xdr:cNvSpPr/>
        </xdr:nvSpPr>
        <xdr:spPr>
          <a:xfrm>
            <a:off x="759098" y="1514339"/>
            <a:ext cx="574766" cy="313604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36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H</a:t>
            </a:r>
          </a:p>
        </xdr:txBody>
      </xdr:sp>
    </xdr:grpSp>
    <xdr:clientData/>
  </xdr:twoCellAnchor>
  <xdr:twoCellAnchor>
    <xdr:from>
      <xdr:col>48</xdr:col>
      <xdr:colOff>482600</xdr:colOff>
      <xdr:row>31</xdr:row>
      <xdr:rowOff>12700</xdr:rowOff>
    </xdr:from>
    <xdr:to>
      <xdr:col>52</xdr:col>
      <xdr:colOff>12700</xdr:colOff>
      <xdr:row>37</xdr:row>
      <xdr:rowOff>38100</xdr:rowOff>
    </xdr:to>
    <xdr:grpSp>
      <xdr:nvGrpSpPr>
        <xdr:cNvPr id="591" name="Group 590">
          <a:extLst>
            <a:ext uri="{FF2B5EF4-FFF2-40B4-BE49-F238E27FC236}">
              <a16:creationId xmlns:a16="http://schemas.microsoft.com/office/drawing/2014/main" id="{B72C68F7-1F08-7C46-8BBE-309DBE350E9E}"/>
            </a:ext>
          </a:extLst>
        </xdr:cNvPr>
        <xdr:cNvGrpSpPr/>
      </xdr:nvGrpSpPr>
      <xdr:grpSpPr>
        <a:xfrm>
          <a:off x="31946850" y="15760700"/>
          <a:ext cx="2070100" cy="3073400"/>
          <a:chOff x="7415704" y="5256054"/>
          <a:chExt cx="3196683" cy="3069666"/>
        </a:xfrm>
      </xdr:grpSpPr>
      <xdr:grpSp>
        <xdr:nvGrpSpPr>
          <xdr:cNvPr id="592" name="Group 591">
            <a:extLst>
              <a:ext uri="{FF2B5EF4-FFF2-40B4-BE49-F238E27FC236}">
                <a16:creationId xmlns:a16="http://schemas.microsoft.com/office/drawing/2014/main" id="{5E73AAFA-D580-A77D-F4B6-60B4872C0C1A}"/>
              </a:ext>
            </a:extLst>
          </xdr:cNvPr>
          <xdr:cNvGrpSpPr/>
        </xdr:nvGrpSpPr>
        <xdr:grpSpPr>
          <a:xfrm>
            <a:off x="7415704" y="5256054"/>
            <a:ext cx="3196683" cy="3069666"/>
            <a:chOff x="5969000" y="3564467"/>
            <a:chExt cx="3067800" cy="959155"/>
          </a:xfrm>
        </xdr:grpSpPr>
        <xdr:pic>
          <xdr:nvPicPr>
            <xdr:cNvPr id="594" name="Picture 593">
              <a:extLst>
                <a:ext uri="{FF2B5EF4-FFF2-40B4-BE49-F238E27FC236}">
                  <a16:creationId xmlns:a16="http://schemas.microsoft.com/office/drawing/2014/main" id="{46B0FF89-13A0-C784-9716-0F05BDD7D46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5969000" y="3564467"/>
              <a:ext cx="3056466" cy="953897"/>
            </a:xfrm>
            <a:prstGeom prst="rect">
              <a:avLst/>
            </a:prstGeom>
          </xdr:spPr>
        </xdr:pic>
        <xdr:sp macro="" textlink="">
          <xdr:nvSpPr>
            <xdr:cNvPr id="595" name="Rectangle 594">
              <a:extLst>
                <a:ext uri="{FF2B5EF4-FFF2-40B4-BE49-F238E27FC236}">
                  <a16:creationId xmlns:a16="http://schemas.microsoft.com/office/drawing/2014/main" id="{CEE5B731-F6B8-E76E-C84E-37BCDF3A0A21}"/>
                </a:ext>
              </a:extLst>
            </xdr:cNvPr>
            <xdr:cNvSpPr/>
          </xdr:nvSpPr>
          <xdr:spPr>
            <a:xfrm>
              <a:off x="5998517" y="3565021"/>
              <a:ext cx="3038283" cy="958601"/>
            </a:xfrm>
            <a:prstGeom prst="rect">
              <a:avLst/>
            </a:prstGeom>
            <a:solidFill>
              <a:schemeClr val="accent1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no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593" name="Rectangle 592">
            <a:extLst>
              <a:ext uri="{FF2B5EF4-FFF2-40B4-BE49-F238E27FC236}">
                <a16:creationId xmlns:a16="http://schemas.microsoft.com/office/drawing/2014/main" id="{1B66944E-168E-618C-959D-5DA65A358425}"/>
              </a:ext>
            </a:extLst>
          </xdr:cNvPr>
          <xdr:cNvSpPr/>
        </xdr:nvSpPr>
        <xdr:spPr>
          <a:xfrm>
            <a:off x="8314827" y="6168365"/>
            <a:ext cx="1433289" cy="1230017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7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J</a:t>
            </a:r>
          </a:p>
        </xdr:txBody>
      </xdr:sp>
    </xdr:grpSp>
    <xdr:clientData/>
  </xdr:twoCellAnchor>
  <xdr:twoCellAnchor>
    <xdr:from>
      <xdr:col>43</xdr:col>
      <xdr:colOff>260512</xdr:colOff>
      <xdr:row>33</xdr:row>
      <xdr:rowOff>1</xdr:rowOff>
    </xdr:from>
    <xdr:to>
      <xdr:col>44</xdr:col>
      <xdr:colOff>195384</xdr:colOff>
      <xdr:row>33</xdr:row>
      <xdr:rowOff>309360</xdr:rowOff>
    </xdr:to>
    <xdr:sp macro="" textlink="">
      <xdr:nvSpPr>
        <xdr:cNvPr id="596" name="Right Arrow 595">
          <a:extLst>
            <a:ext uri="{FF2B5EF4-FFF2-40B4-BE49-F238E27FC236}">
              <a16:creationId xmlns:a16="http://schemas.microsoft.com/office/drawing/2014/main" id="{8D7EC5FC-C80D-AA44-9B5E-EB2702D27DD6}"/>
            </a:ext>
          </a:extLst>
        </xdr:cNvPr>
        <xdr:cNvSpPr/>
      </xdr:nvSpPr>
      <xdr:spPr>
        <a:xfrm>
          <a:off x="5340512" y="4064001"/>
          <a:ext cx="569872" cy="309359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309359</xdr:colOff>
      <xdr:row>34</xdr:row>
      <xdr:rowOff>130257</xdr:rowOff>
    </xdr:from>
    <xdr:to>
      <xdr:col>45</xdr:col>
      <xdr:colOff>244230</xdr:colOff>
      <xdr:row>34</xdr:row>
      <xdr:rowOff>439616</xdr:rowOff>
    </xdr:to>
    <xdr:sp macro="" textlink="">
      <xdr:nvSpPr>
        <xdr:cNvPr id="597" name="Right Arrow 596">
          <a:extLst>
            <a:ext uri="{FF2B5EF4-FFF2-40B4-BE49-F238E27FC236}">
              <a16:creationId xmlns:a16="http://schemas.microsoft.com/office/drawing/2014/main" id="{CCBEFEA2-D61C-3844-8BCA-DCB7C54B3E37}"/>
            </a:ext>
          </a:extLst>
        </xdr:cNvPr>
        <xdr:cNvSpPr/>
      </xdr:nvSpPr>
      <xdr:spPr>
        <a:xfrm>
          <a:off x="6024359" y="4702257"/>
          <a:ext cx="569871" cy="309359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46</xdr:col>
      <xdr:colOff>325640</xdr:colOff>
      <xdr:row>33</xdr:row>
      <xdr:rowOff>293077</xdr:rowOff>
    </xdr:from>
    <xdr:to>
      <xdr:col>47</xdr:col>
      <xdr:colOff>260512</xdr:colOff>
      <xdr:row>34</xdr:row>
      <xdr:rowOff>97692</xdr:rowOff>
    </xdr:to>
    <xdr:sp macro="" textlink="">
      <xdr:nvSpPr>
        <xdr:cNvPr id="598" name="Right Arrow 597">
          <a:extLst>
            <a:ext uri="{FF2B5EF4-FFF2-40B4-BE49-F238E27FC236}">
              <a16:creationId xmlns:a16="http://schemas.microsoft.com/office/drawing/2014/main" id="{35770375-736D-6A47-8A86-4DB3719BCC46}"/>
            </a:ext>
          </a:extLst>
        </xdr:cNvPr>
        <xdr:cNvSpPr/>
      </xdr:nvSpPr>
      <xdr:spPr>
        <a:xfrm>
          <a:off x="7310640" y="4357077"/>
          <a:ext cx="569872" cy="312615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48</xdr:col>
      <xdr:colOff>325641</xdr:colOff>
      <xdr:row>33</xdr:row>
      <xdr:rowOff>341923</xdr:rowOff>
    </xdr:from>
    <xdr:to>
      <xdr:col>49</xdr:col>
      <xdr:colOff>260513</xdr:colOff>
      <xdr:row>34</xdr:row>
      <xdr:rowOff>146538</xdr:rowOff>
    </xdr:to>
    <xdr:sp macro="" textlink="">
      <xdr:nvSpPr>
        <xdr:cNvPr id="599" name="Right Arrow 598">
          <a:extLst>
            <a:ext uri="{FF2B5EF4-FFF2-40B4-BE49-F238E27FC236}">
              <a16:creationId xmlns:a16="http://schemas.microsoft.com/office/drawing/2014/main" id="{FF0FC34C-CD79-584C-882B-CDAC84BC5FF6}"/>
            </a:ext>
          </a:extLst>
        </xdr:cNvPr>
        <xdr:cNvSpPr/>
      </xdr:nvSpPr>
      <xdr:spPr>
        <a:xfrm>
          <a:off x="8580641" y="4405923"/>
          <a:ext cx="569872" cy="312615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47</xdr:col>
      <xdr:colOff>15875</xdr:colOff>
      <xdr:row>15</xdr:row>
      <xdr:rowOff>250825</xdr:rowOff>
    </xdr:from>
    <xdr:to>
      <xdr:col>48</xdr:col>
      <xdr:colOff>15875</xdr:colOff>
      <xdr:row>16</xdr:row>
      <xdr:rowOff>263525</xdr:rowOff>
    </xdr:to>
    <xdr:grpSp>
      <xdr:nvGrpSpPr>
        <xdr:cNvPr id="641" name="Group 640">
          <a:extLst>
            <a:ext uri="{FF2B5EF4-FFF2-40B4-BE49-F238E27FC236}">
              <a16:creationId xmlns:a16="http://schemas.microsoft.com/office/drawing/2014/main" id="{D3D99209-DB45-7747-8649-92E8F0513B90}"/>
            </a:ext>
          </a:extLst>
        </xdr:cNvPr>
        <xdr:cNvGrpSpPr/>
      </xdr:nvGrpSpPr>
      <xdr:grpSpPr>
        <a:xfrm>
          <a:off x="30845125" y="7870825"/>
          <a:ext cx="635000" cy="520700"/>
          <a:chOff x="9071066" y="14609355"/>
          <a:chExt cx="1330960" cy="1258388"/>
        </a:xfrm>
      </xdr:grpSpPr>
      <xdr:grpSp>
        <xdr:nvGrpSpPr>
          <xdr:cNvPr id="642" name="Group 641">
            <a:extLst>
              <a:ext uri="{FF2B5EF4-FFF2-40B4-BE49-F238E27FC236}">
                <a16:creationId xmlns:a16="http://schemas.microsoft.com/office/drawing/2014/main" id="{4EA2F756-0E38-AE89-883C-6A19ACC1F7A1}"/>
              </a:ext>
            </a:extLst>
          </xdr:cNvPr>
          <xdr:cNvGrpSpPr/>
        </xdr:nvGrpSpPr>
        <xdr:grpSpPr>
          <a:xfrm>
            <a:off x="9071066" y="14609355"/>
            <a:ext cx="1330960" cy="1258388"/>
            <a:chOff x="4656034" y="4721593"/>
            <a:chExt cx="1973588" cy="1275182"/>
          </a:xfrm>
        </xdr:grpSpPr>
        <xdr:pic>
          <xdr:nvPicPr>
            <xdr:cNvPr id="644" name="Picture 643">
              <a:extLst>
                <a:ext uri="{FF2B5EF4-FFF2-40B4-BE49-F238E27FC236}">
                  <a16:creationId xmlns:a16="http://schemas.microsoft.com/office/drawing/2014/main" id="{BCB8EA9C-4941-4EEE-D638-90945307188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697150" y="4730964"/>
              <a:ext cx="1932472" cy="1265810"/>
            </a:xfrm>
            <a:prstGeom prst="rect">
              <a:avLst/>
            </a:prstGeom>
          </xdr:spPr>
        </xdr:pic>
        <xdr:sp macro="" textlink="">
          <xdr:nvSpPr>
            <xdr:cNvPr id="645" name="Rectangle 644">
              <a:extLst>
                <a:ext uri="{FF2B5EF4-FFF2-40B4-BE49-F238E27FC236}">
                  <a16:creationId xmlns:a16="http://schemas.microsoft.com/office/drawing/2014/main" id="{C0FA54DC-6CE6-2337-C447-67B28A33E819}"/>
                </a:ext>
              </a:extLst>
            </xdr:cNvPr>
            <xdr:cNvSpPr/>
          </xdr:nvSpPr>
          <xdr:spPr>
            <a:xfrm>
              <a:off x="4656034" y="4721593"/>
              <a:ext cx="1973588" cy="1275182"/>
            </a:xfrm>
            <a:prstGeom prst="rect">
              <a:avLst/>
            </a:prstGeom>
            <a:solidFill>
              <a:schemeClr val="accent3">
                <a:lumMod val="75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643" name="Rectangle 642">
            <a:extLst>
              <a:ext uri="{FF2B5EF4-FFF2-40B4-BE49-F238E27FC236}">
                <a16:creationId xmlns:a16="http://schemas.microsoft.com/office/drawing/2014/main" id="{6623FA64-9B61-0027-2B5E-FBB7C1CAB321}"/>
              </a:ext>
            </a:extLst>
          </xdr:cNvPr>
          <xdr:cNvSpPr/>
        </xdr:nvSpPr>
        <xdr:spPr>
          <a:xfrm>
            <a:off x="9499600" y="14829823"/>
            <a:ext cx="487680" cy="728917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0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G</a:t>
            </a:r>
          </a:p>
        </xdr:txBody>
      </xdr:sp>
    </xdr:grpSp>
    <xdr:clientData/>
  </xdr:twoCellAnchor>
  <xdr:twoCellAnchor>
    <xdr:from>
      <xdr:col>48</xdr:col>
      <xdr:colOff>12700</xdr:colOff>
      <xdr:row>13</xdr:row>
      <xdr:rowOff>495298</xdr:rowOff>
    </xdr:from>
    <xdr:to>
      <xdr:col>50</xdr:col>
      <xdr:colOff>0</xdr:colOff>
      <xdr:row>18</xdr:row>
      <xdr:rowOff>12700</xdr:rowOff>
    </xdr:to>
    <xdr:grpSp>
      <xdr:nvGrpSpPr>
        <xdr:cNvPr id="646" name="Group 645">
          <a:extLst>
            <a:ext uri="{FF2B5EF4-FFF2-40B4-BE49-F238E27FC236}">
              <a16:creationId xmlns:a16="http://schemas.microsoft.com/office/drawing/2014/main" id="{37EB3F8A-C3C4-C34F-A343-93C337807273}"/>
            </a:ext>
          </a:extLst>
        </xdr:cNvPr>
        <xdr:cNvGrpSpPr/>
      </xdr:nvGrpSpPr>
      <xdr:grpSpPr>
        <a:xfrm>
          <a:off x="31476950" y="7099298"/>
          <a:ext cx="1257300" cy="2057402"/>
          <a:chOff x="4236358" y="10468429"/>
          <a:chExt cx="2450052" cy="2467429"/>
        </a:xfrm>
      </xdr:grpSpPr>
      <xdr:grpSp>
        <xdr:nvGrpSpPr>
          <xdr:cNvPr id="647" name="Group 646">
            <a:extLst>
              <a:ext uri="{FF2B5EF4-FFF2-40B4-BE49-F238E27FC236}">
                <a16:creationId xmlns:a16="http://schemas.microsoft.com/office/drawing/2014/main" id="{E42FF360-8EA0-3A44-A8E2-DAD5D4F6C06F}"/>
              </a:ext>
            </a:extLst>
          </xdr:cNvPr>
          <xdr:cNvGrpSpPr/>
        </xdr:nvGrpSpPr>
        <xdr:grpSpPr>
          <a:xfrm>
            <a:off x="4236358" y="10468429"/>
            <a:ext cx="2450052" cy="2467429"/>
            <a:chOff x="5969000" y="3564467"/>
            <a:chExt cx="3056466" cy="926643"/>
          </a:xfrm>
        </xdr:grpSpPr>
        <xdr:pic>
          <xdr:nvPicPr>
            <xdr:cNvPr id="649" name="Picture 648">
              <a:extLst>
                <a:ext uri="{FF2B5EF4-FFF2-40B4-BE49-F238E27FC236}">
                  <a16:creationId xmlns:a16="http://schemas.microsoft.com/office/drawing/2014/main" id="{892D3D34-9741-D811-1F35-1B653A4ED5B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5969000" y="3564467"/>
              <a:ext cx="3056466" cy="921809"/>
            </a:xfrm>
            <a:prstGeom prst="rect">
              <a:avLst/>
            </a:prstGeom>
          </xdr:spPr>
        </xdr:pic>
        <xdr:sp macro="" textlink="">
          <xdr:nvSpPr>
            <xdr:cNvPr id="650" name="Rectangle 649">
              <a:extLst>
                <a:ext uri="{FF2B5EF4-FFF2-40B4-BE49-F238E27FC236}">
                  <a16:creationId xmlns:a16="http://schemas.microsoft.com/office/drawing/2014/main" id="{BD57BEAF-ACDB-083C-E57E-822EC1533184}"/>
                </a:ext>
              </a:extLst>
            </xdr:cNvPr>
            <xdr:cNvSpPr/>
          </xdr:nvSpPr>
          <xdr:spPr>
            <a:xfrm>
              <a:off x="5980316" y="3564467"/>
              <a:ext cx="3044193" cy="926643"/>
            </a:xfrm>
            <a:prstGeom prst="rect">
              <a:avLst/>
            </a:prstGeom>
            <a:solidFill>
              <a:schemeClr val="accent2">
                <a:lumMod val="40000"/>
                <a:lumOff val="60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648" name="Rectangle 647">
            <a:extLst>
              <a:ext uri="{FF2B5EF4-FFF2-40B4-BE49-F238E27FC236}">
                <a16:creationId xmlns:a16="http://schemas.microsoft.com/office/drawing/2014/main" id="{74A626F3-9171-744C-0756-671A3B52686F}"/>
              </a:ext>
            </a:extLst>
          </xdr:cNvPr>
          <xdr:cNvSpPr/>
        </xdr:nvSpPr>
        <xdr:spPr>
          <a:xfrm>
            <a:off x="4953000" y="11146429"/>
            <a:ext cx="952500" cy="948145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54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H</a:t>
            </a:r>
          </a:p>
        </xdr:txBody>
      </xdr:sp>
    </xdr:grpSp>
    <xdr:clientData/>
  </xdr:twoCellAnchor>
  <xdr:twoCellAnchor>
    <xdr:from>
      <xdr:col>42</xdr:col>
      <xdr:colOff>15875</xdr:colOff>
      <xdr:row>14</xdr:row>
      <xdr:rowOff>298451</xdr:rowOff>
    </xdr:from>
    <xdr:to>
      <xdr:col>43</xdr:col>
      <xdr:colOff>15875</xdr:colOff>
      <xdr:row>17</xdr:row>
      <xdr:rowOff>311151</xdr:rowOff>
    </xdr:to>
    <xdr:grpSp>
      <xdr:nvGrpSpPr>
        <xdr:cNvPr id="651" name="Group 650">
          <a:extLst>
            <a:ext uri="{FF2B5EF4-FFF2-40B4-BE49-F238E27FC236}">
              <a16:creationId xmlns:a16="http://schemas.microsoft.com/office/drawing/2014/main" id="{FAE70218-FCB6-A945-8D26-348FF0908056}"/>
            </a:ext>
          </a:extLst>
        </xdr:cNvPr>
        <xdr:cNvGrpSpPr/>
      </xdr:nvGrpSpPr>
      <xdr:grpSpPr>
        <a:xfrm>
          <a:off x="27670125" y="7410451"/>
          <a:ext cx="635000" cy="1536700"/>
          <a:chOff x="3647441" y="19785639"/>
          <a:chExt cx="1168400" cy="1265881"/>
        </a:xfrm>
      </xdr:grpSpPr>
      <xdr:grpSp>
        <xdr:nvGrpSpPr>
          <xdr:cNvPr id="652" name="Group 651">
            <a:extLst>
              <a:ext uri="{FF2B5EF4-FFF2-40B4-BE49-F238E27FC236}">
                <a16:creationId xmlns:a16="http://schemas.microsoft.com/office/drawing/2014/main" id="{6CBA2555-2356-AC76-94A6-DB835012DF27}"/>
              </a:ext>
            </a:extLst>
          </xdr:cNvPr>
          <xdr:cNvGrpSpPr/>
        </xdr:nvGrpSpPr>
        <xdr:grpSpPr>
          <a:xfrm>
            <a:off x="3647441" y="19785639"/>
            <a:ext cx="1168400" cy="1265881"/>
            <a:chOff x="3262466" y="1921933"/>
            <a:chExt cx="1326467" cy="1303866"/>
          </a:xfrm>
        </xdr:grpSpPr>
        <xdr:pic>
          <xdr:nvPicPr>
            <xdr:cNvPr id="654" name="Picture 653">
              <a:extLst>
                <a:ext uri="{FF2B5EF4-FFF2-40B4-BE49-F238E27FC236}">
                  <a16:creationId xmlns:a16="http://schemas.microsoft.com/office/drawing/2014/main" id="{4BA3008D-886B-63B5-A9F3-3C06CCDB9C1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285067" y="1921933"/>
              <a:ext cx="1303866" cy="1303866"/>
            </a:xfrm>
            <a:prstGeom prst="rect">
              <a:avLst/>
            </a:prstGeom>
          </xdr:spPr>
        </xdr:pic>
        <xdr:sp macro="" textlink="">
          <xdr:nvSpPr>
            <xdr:cNvPr id="655" name="Rectangle 654">
              <a:extLst>
                <a:ext uri="{FF2B5EF4-FFF2-40B4-BE49-F238E27FC236}">
                  <a16:creationId xmlns:a16="http://schemas.microsoft.com/office/drawing/2014/main" id="{AE983F92-95B9-7230-F1EF-A44456AB658D}"/>
                </a:ext>
              </a:extLst>
            </xdr:cNvPr>
            <xdr:cNvSpPr/>
          </xdr:nvSpPr>
          <xdr:spPr>
            <a:xfrm>
              <a:off x="3262466" y="1928155"/>
              <a:ext cx="1326466" cy="1297643"/>
            </a:xfrm>
            <a:prstGeom prst="rect">
              <a:avLst/>
            </a:prstGeom>
            <a:solidFill>
              <a:schemeClr val="bg1">
                <a:lumMod val="65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653" name="Rectangle 652">
            <a:extLst>
              <a:ext uri="{FF2B5EF4-FFF2-40B4-BE49-F238E27FC236}">
                <a16:creationId xmlns:a16="http://schemas.microsoft.com/office/drawing/2014/main" id="{67507DAC-D028-F088-7788-80D9A9D58A77}"/>
              </a:ext>
            </a:extLst>
          </xdr:cNvPr>
          <xdr:cNvSpPr/>
        </xdr:nvSpPr>
        <xdr:spPr>
          <a:xfrm>
            <a:off x="3921760" y="20041903"/>
            <a:ext cx="518160" cy="728917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0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A</a:t>
            </a:r>
          </a:p>
        </xdr:txBody>
      </xdr:sp>
    </xdr:grpSp>
    <xdr:clientData/>
  </xdr:twoCellAnchor>
  <xdr:twoCellAnchor>
    <xdr:from>
      <xdr:col>43</xdr:col>
      <xdr:colOff>25399</xdr:colOff>
      <xdr:row>14</xdr:row>
      <xdr:rowOff>425451</xdr:rowOff>
    </xdr:from>
    <xdr:to>
      <xdr:col>45</xdr:col>
      <xdr:colOff>0</xdr:colOff>
      <xdr:row>17</xdr:row>
      <xdr:rowOff>222250</xdr:rowOff>
    </xdr:to>
    <xdr:grpSp>
      <xdr:nvGrpSpPr>
        <xdr:cNvPr id="656" name="Group 655">
          <a:extLst>
            <a:ext uri="{FF2B5EF4-FFF2-40B4-BE49-F238E27FC236}">
              <a16:creationId xmlns:a16="http://schemas.microsoft.com/office/drawing/2014/main" id="{B3220456-37B9-1B49-AD53-518A8F8CE34D}"/>
            </a:ext>
          </a:extLst>
        </xdr:cNvPr>
        <xdr:cNvGrpSpPr/>
      </xdr:nvGrpSpPr>
      <xdr:grpSpPr>
        <a:xfrm>
          <a:off x="28314649" y="7537451"/>
          <a:ext cx="1244601" cy="1320799"/>
          <a:chOff x="7403600" y="19633475"/>
          <a:chExt cx="1431609" cy="2135415"/>
        </a:xfrm>
      </xdr:grpSpPr>
      <xdr:grpSp>
        <xdr:nvGrpSpPr>
          <xdr:cNvPr id="657" name="Group 656">
            <a:extLst>
              <a:ext uri="{FF2B5EF4-FFF2-40B4-BE49-F238E27FC236}">
                <a16:creationId xmlns:a16="http://schemas.microsoft.com/office/drawing/2014/main" id="{66E0CF6E-54D5-5C89-68B1-D6F20211F4E8}"/>
              </a:ext>
            </a:extLst>
          </xdr:cNvPr>
          <xdr:cNvGrpSpPr/>
        </xdr:nvGrpSpPr>
        <xdr:grpSpPr>
          <a:xfrm>
            <a:off x="7403600" y="19633475"/>
            <a:ext cx="1431609" cy="2135415"/>
            <a:chOff x="6206067" y="1900075"/>
            <a:chExt cx="1303867" cy="1308790"/>
          </a:xfrm>
        </xdr:grpSpPr>
        <xdr:pic>
          <xdr:nvPicPr>
            <xdr:cNvPr id="659" name="Picture 658">
              <a:extLst>
                <a:ext uri="{FF2B5EF4-FFF2-40B4-BE49-F238E27FC236}">
                  <a16:creationId xmlns:a16="http://schemas.microsoft.com/office/drawing/2014/main" id="{BF5B9B55-6002-2395-602C-E828D8FBD57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6206067" y="1904999"/>
              <a:ext cx="1303866" cy="1303866"/>
            </a:xfrm>
            <a:prstGeom prst="rect">
              <a:avLst/>
            </a:prstGeom>
          </xdr:spPr>
        </xdr:pic>
        <xdr:sp macro="" textlink="">
          <xdr:nvSpPr>
            <xdr:cNvPr id="660" name="Rectangle 659">
              <a:extLst>
                <a:ext uri="{FF2B5EF4-FFF2-40B4-BE49-F238E27FC236}">
                  <a16:creationId xmlns:a16="http://schemas.microsoft.com/office/drawing/2014/main" id="{C1DA51BF-42A3-8DBB-2067-7758EC9DAE49}"/>
                </a:ext>
              </a:extLst>
            </xdr:cNvPr>
            <xdr:cNvSpPr/>
          </xdr:nvSpPr>
          <xdr:spPr>
            <a:xfrm>
              <a:off x="6206868" y="1900075"/>
              <a:ext cx="1303066" cy="1291865"/>
            </a:xfrm>
            <a:prstGeom prst="rect">
              <a:avLst/>
            </a:prstGeom>
            <a:solidFill>
              <a:schemeClr val="accent4">
                <a:lumMod val="50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658" name="Rectangle 657">
            <a:extLst>
              <a:ext uri="{FF2B5EF4-FFF2-40B4-BE49-F238E27FC236}">
                <a16:creationId xmlns:a16="http://schemas.microsoft.com/office/drawing/2014/main" id="{A929CB22-907D-29B8-19A5-B7CD03B81EC8}"/>
              </a:ext>
            </a:extLst>
          </xdr:cNvPr>
          <xdr:cNvSpPr/>
        </xdr:nvSpPr>
        <xdr:spPr>
          <a:xfrm>
            <a:off x="7800703" y="20388496"/>
            <a:ext cx="710837" cy="803900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4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B</a:t>
            </a:r>
          </a:p>
        </xdr:txBody>
      </xdr:sp>
    </xdr:grpSp>
    <xdr:clientData/>
  </xdr:twoCellAnchor>
  <xdr:twoCellAnchor>
    <xdr:from>
      <xdr:col>45</xdr:col>
      <xdr:colOff>12700</xdr:colOff>
      <xdr:row>14</xdr:row>
      <xdr:rowOff>111125</xdr:rowOff>
    </xdr:from>
    <xdr:to>
      <xdr:col>47</xdr:col>
      <xdr:colOff>0</xdr:colOff>
      <xdr:row>17</xdr:row>
      <xdr:rowOff>428625</xdr:rowOff>
    </xdr:to>
    <xdr:grpSp>
      <xdr:nvGrpSpPr>
        <xdr:cNvPr id="661" name="Group 660">
          <a:extLst>
            <a:ext uri="{FF2B5EF4-FFF2-40B4-BE49-F238E27FC236}">
              <a16:creationId xmlns:a16="http://schemas.microsoft.com/office/drawing/2014/main" id="{F704BE7B-F75B-9746-890E-EB22B2C289CA}"/>
            </a:ext>
          </a:extLst>
        </xdr:cNvPr>
        <xdr:cNvGrpSpPr/>
      </xdr:nvGrpSpPr>
      <xdr:grpSpPr>
        <a:xfrm>
          <a:off x="29571950" y="7223125"/>
          <a:ext cx="1257300" cy="1841500"/>
          <a:chOff x="3655786" y="1115787"/>
          <a:chExt cx="1914071" cy="2485569"/>
        </a:xfrm>
      </xdr:grpSpPr>
      <xdr:grpSp>
        <xdr:nvGrpSpPr>
          <xdr:cNvPr id="662" name="Group 661">
            <a:extLst>
              <a:ext uri="{FF2B5EF4-FFF2-40B4-BE49-F238E27FC236}">
                <a16:creationId xmlns:a16="http://schemas.microsoft.com/office/drawing/2014/main" id="{FE71F498-D34B-76C4-1DEE-C2E993B5F4E6}"/>
              </a:ext>
            </a:extLst>
          </xdr:cNvPr>
          <xdr:cNvGrpSpPr/>
        </xdr:nvGrpSpPr>
        <xdr:grpSpPr>
          <a:xfrm>
            <a:off x="3655786" y="1115787"/>
            <a:ext cx="1914071" cy="2485569"/>
            <a:chOff x="6198908" y="1900224"/>
            <a:chExt cx="1311025" cy="1308641"/>
          </a:xfrm>
        </xdr:grpSpPr>
        <xdr:pic>
          <xdr:nvPicPr>
            <xdr:cNvPr id="664" name="Picture 663">
              <a:extLst>
                <a:ext uri="{FF2B5EF4-FFF2-40B4-BE49-F238E27FC236}">
                  <a16:creationId xmlns:a16="http://schemas.microsoft.com/office/drawing/2014/main" id="{60852113-A25C-1096-E4D7-70E321A8AEE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6206067" y="1904999"/>
              <a:ext cx="1303866" cy="1303866"/>
            </a:xfrm>
            <a:prstGeom prst="rect">
              <a:avLst/>
            </a:prstGeom>
          </xdr:spPr>
        </xdr:pic>
        <xdr:sp macro="" textlink="">
          <xdr:nvSpPr>
            <xdr:cNvPr id="665" name="Rectangle 664">
              <a:extLst>
                <a:ext uri="{FF2B5EF4-FFF2-40B4-BE49-F238E27FC236}">
                  <a16:creationId xmlns:a16="http://schemas.microsoft.com/office/drawing/2014/main" id="{0B8A00B6-C63B-D54B-AC55-22EE86E302F6}"/>
                </a:ext>
              </a:extLst>
            </xdr:cNvPr>
            <xdr:cNvSpPr/>
          </xdr:nvSpPr>
          <xdr:spPr>
            <a:xfrm>
              <a:off x="6198908" y="1900224"/>
              <a:ext cx="1304812" cy="1294313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663" name="Rectangle 662">
            <a:extLst>
              <a:ext uri="{FF2B5EF4-FFF2-40B4-BE49-F238E27FC236}">
                <a16:creationId xmlns:a16="http://schemas.microsoft.com/office/drawing/2014/main" id="{BAECB374-8FEE-C4CB-2736-275C87E7ADC3}"/>
              </a:ext>
            </a:extLst>
          </xdr:cNvPr>
          <xdr:cNvSpPr/>
        </xdr:nvSpPr>
        <xdr:spPr>
          <a:xfrm>
            <a:off x="4172857" y="1940113"/>
            <a:ext cx="889000" cy="791563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4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D</a:t>
            </a:r>
          </a:p>
        </xdr:txBody>
      </xdr:sp>
    </xdr:grpSp>
    <xdr:clientData/>
  </xdr:twoCellAnchor>
  <xdr:twoCellAnchor>
    <xdr:from>
      <xdr:col>42</xdr:col>
      <xdr:colOff>479778</xdr:colOff>
      <xdr:row>15</xdr:row>
      <xdr:rowOff>409222</xdr:rowOff>
    </xdr:from>
    <xdr:to>
      <xdr:col>43</xdr:col>
      <xdr:colOff>268111</xdr:colOff>
      <xdr:row>16</xdr:row>
      <xdr:rowOff>129170</xdr:rowOff>
    </xdr:to>
    <xdr:sp macro="" textlink="">
      <xdr:nvSpPr>
        <xdr:cNvPr id="666" name="Right Arrow 665">
          <a:extLst>
            <a:ext uri="{FF2B5EF4-FFF2-40B4-BE49-F238E27FC236}">
              <a16:creationId xmlns:a16="http://schemas.microsoft.com/office/drawing/2014/main" id="{20B62830-D0E2-E949-B873-75A270FC5A4F}"/>
            </a:ext>
          </a:extLst>
        </xdr:cNvPr>
        <xdr:cNvSpPr/>
      </xdr:nvSpPr>
      <xdr:spPr>
        <a:xfrm>
          <a:off x="4924778" y="8029222"/>
          <a:ext cx="423333" cy="227948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423333</xdr:colOff>
      <xdr:row>15</xdr:row>
      <xdr:rowOff>395111</xdr:rowOff>
    </xdr:from>
    <xdr:to>
      <xdr:col>45</xdr:col>
      <xdr:colOff>211666</xdr:colOff>
      <xdr:row>16</xdr:row>
      <xdr:rowOff>115059</xdr:rowOff>
    </xdr:to>
    <xdr:sp macro="" textlink="">
      <xdr:nvSpPr>
        <xdr:cNvPr id="667" name="Right Arrow 666">
          <a:extLst>
            <a:ext uri="{FF2B5EF4-FFF2-40B4-BE49-F238E27FC236}">
              <a16:creationId xmlns:a16="http://schemas.microsoft.com/office/drawing/2014/main" id="{FD8898C3-52EB-CB4F-8B81-2281A9A78C27}"/>
            </a:ext>
          </a:extLst>
        </xdr:cNvPr>
        <xdr:cNvSpPr/>
      </xdr:nvSpPr>
      <xdr:spPr>
        <a:xfrm>
          <a:off x="6138333" y="8015111"/>
          <a:ext cx="423333" cy="227948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46</xdr:col>
      <xdr:colOff>395111</xdr:colOff>
      <xdr:row>15</xdr:row>
      <xdr:rowOff>395111</xdr:rowOff>
    </xdr:from>
    <xdr:to>
      <xdr:col>47</xdr:col>
      <xdr:colOff>183444</xdr:colOff>
      <xdr:row>16</xdr:row>
      <xdr:rowOff>115059</xdr:rowOff>
    </xdr:to>
    <xdr:sp macro="" textlink="">
      <xdr:nvSpPr>
        <xdr:cNvPr id="668" name="Right Arrow 667">
          <a:extLst>
            <a:ext uri="{FF2B5EF4-FFF2-40B4-BE49-F238E27FC236}">
              <a16:creationId xmlns:a16="http://schemas.microsoft.com/office/drawing/2014/main" id="{6D5055F1-356B-C645-8013-E9EAD23888C9}"/>
            </a:ext>
          </a:extLst>
        </xdr:cNvPr>
        <xdr:cNvSpPr/>
      </xdr:nvSpPr>
      <xdr:spPr>
        <a:xfrm>
          <a:off x="7380111" y="8015111"/>
          <a:ext cx="423333" cy="227948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47</xdr:col>
      <xdr:colOff>536222</xdr:colOff>
      <xdr:row>15</xdr:row>
      <xdr:rowOff>366889</xdr:rowOff>
    </xdr:from>
    <xdr:to>
      <xdr:col>48</xdr:col>
      <xdr:colOff>324555</xdr:colOff>
      <xdr:row>16</xdr:row>
      <xdr:rowOff>86837</xdr:rowOff>
    </xdr:to>
    <xdr:sp macro="" textlink="">
      <xdr:nvSpPr>
        <xdr:cNvPr id="669" name="Right Arrow 668">
          <a:extLst>
            <a:ext uri="{FF2B5EF4-FFF2-40B4-BE49-F238E27FC236}">
              <a16:creationId xmlns:a16="http://schemas.microsoft.com/office/drawing/2014/main" id="{29CBEF2F-B722-2D4A-AEEE-020F3E36718C}"/>
            </a:ext>
          </a:extLst>
        </xdr:cNvPr>
        <xdr:cNvSpPr/>
      </xdr:nvSpPr>
      <xdr:spPr>
        <a:xfrm>
          <a:off x="8156222" y="7986889"/>
          <a:ext cx="423333" cy="227948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632239</xdr:colOff>
      <xdr:row>45</xdr:row>
      <xdr:rowOff>259101</xdr:rowOff>
    </xdr:from>
    <xdr:to>
      <xdr:col>17</xdr:col>
      <xdr:colOff>4718</xdr:colOff>
      <xdr:row>45</xdr:row>
      <xdr:rowOff>390575</xdr:rowOff>
    </xdr:to>
    <xdr:cxnSp macro="">
      <xdr:nvCxnSpPr>
        <xdr:cNvPr id="707" name="Straight Arrow Connector 706">
          <a:extLst>
            <a:ext uri="{FF2B5EF4-FFF2-40B4-BE49-F238E27FC236}">
              <a16:creationId xmlns:a16="http://schemas.microsoft.com/office/drawing/2014/main" id="{CE77B702-9AE7-9A4A-AA34-6CD0D36B1856}"/>
            </a:ext>
          </a:extLst>
        </xdr:cNvPr>
        <xdr:cNvCxnSpPr>
          <a:cxnSpLocks/>
          <a:stCxn id="713" idx="3"/>
          <a:endCxn id="718" idx="1"/>
        </xdr:cNvCxnSpPr>
      </xdr:nvCxnSpPr>
      <xdr:spPr>
        <a:xfrm>
          <a:off x="4442239" y="8895101"/>
          <a:ext cx="7479" cy="131474"/>
        </a:xfrm>
        <a:prstGeom prst="straightConnector1">
          <a:avLst/>
        </a:prstGeom>
        <a:noFill/>
        <a:ln w="50800" cap="flat">
          <a:solidFill>
            <a:schemeClr val="accent1">
              <a:lumMod val="7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19</xdr:col>
      <xdr:colOff>0</xdr:colOff>
      <xdr:row>45</xdr:row>
      <xdr:rowOff>257151</xdr:rowOff>
    </xdr:from>
    <xdr:to>
      <xdr:col>19</xdr:col>
      <xdr:colOff>1</xdr:colOff>
      <xdr:row>45</xdr:row>
      <xdr:rowOff>390575</xdr:rowOff>
    </xdr:to>
    <xdr:cxnSp macro="">
      <xdr:nvCxnSpPr>
        <xdr:cNvPr id="708" name="Straight Arrow Connector 707">
          <a:extLst>
            <a:ext uri="{FF2B5EF4-FFF2-40B4-BE49-F238E27FC236}">
              <a16:creationId xmlns:a16="http://schemas.microsoft.com/office/drawing/2014/main" id="{17FF0C23-611A-1B4D-AACC-3A3E38AC78E1}"/>
            </a:ext>
          </a:extLst>
        </xdr:cNvPr>
        <xdr:cNvCxnSpPr>
          <a:cxnSpLocks/>
          <a:stCxn id="718" idx="3"/>
          <a:endCxn id="733" idx="1"/>
        </xdr:cNvCxnSpPr>
      </xdr:nvCxnSpPr>
      <xdr:spPr>
        <a:xfrm flipV="1">
          <a:off x="5715000" y="8893151"/>
          <a:ext cx="1" cy="133424"/>
        </a:xfrm>
        <a:prstGeom prst="straightConnector1">
          <a:avLst/>
        </a:prstGeom>
        <a:noFill/>
        <a:ln w="50800" cap="flat">
          <a:solidFill>
            <a:schemeClr val="accent1">
              <a:lumMod val="75000"/>
            </a:schemeClr>
          </a:solidFill>
          <a:prstDash val="solid"/>
          <a:miter lim="400000"/>
          <a:headEnd type="triangle"/>
          <a:tailEnd type="triangle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</xdr:cxnSp>
    <xdr:clientData/>
  </xdr:twoCellAnchor>
  <xdr:twoCellAnchor>
    <xdr:from>
      <xdr:col>16</xdr:col>
      <xdr:colOff>0</xdr:colOff>
      <xdr:row>42</xdr:row>
      <xdr:rowOff>12700</xdr:rowOff>
    </xdr:from>
    <xdr:to>
      <xdr:col>17</xdr:col>
      <xdr:colOff>0</xdr:colOff>
      <xdr:row>49</xdr:row>
      <xdr:rowOff>12699</xdr:rowOff>
    </xdr:to>
    <xdr:grpSp>
      <xdr:nvGrpSpPr>
        <xdr:cNvPr id="709" name="Group 708">
          <a:extLst>
            <a:ext uri="{FF2B5EF4-FFF2-40B4-BE49-F238E27FC236}">
              <a16:creationId xmlns:a16="http://schemas.microsoft.com/office/drawing/2014/main" id="{3E3768D6-C009-CF42-9D33-47F1032C8165}"/>
            </a:ext>
          </a:extLst>
        </xdr:cNvPr>
        <xdr:cNvGrpSpPr/>
      </xdr:nvGrpSpPr>
      <xdr:grpSpPr>
        <a:xfrm>
          <a:off x="10160000" y="21348700"/>
          <a:ext cx="635000" cy="3555999"/>
          <a:chOff x="9052922" y="10123712"/>
          <a:chExt cx="2123440" cy="2153557"/>
        </a:xfrm>
      </xdr:grpSpPr>
      <xdr:grpSp>
        <xdr:nvGrpSpPr>
          <xdr:cNvPr id="710" name="Group 709">
            <a:extLst>
              <a:ext uri="{FF2B5EF4-FFF2-40B4-BE49-F238E27FC236}">
                <a16:creationId xmlns:a16="http://schemas.microsoft.com/office/drawing/2014/main" id="{FD8ADFE3-9C64-5DA5-5DDE-2E25C814B65E}"/>
              </a:ext>
            </a:extLst>
          </xdr:cNvPr>
          <xdr:cNvGrpSpPr/>
        </xdr:nvGrpSpPr>
        <xdr:grpSpPr>
          <a:xfrm>
            <a:off x="9052922" y="10123712"/>
            <a:ext cx="2123440" cy="2153557"/>
            <a:chOff x="2166446" y="4637853"/>
            <a:chExt cx="1951819" cy="1297469"/>
          </a:xfrm>
        </xdr:grpSpPr>
        <xdr:pic>
          <xdr:nvPicPr>
            <xdr:cNvPr id="712" name="Picture 711">
              <a:extLst>
                <a:ext uri="{FF2B5EF4-FFF2-40B4-BE49-F238E27FC236}">
                  <a16:creationId xmlns:a16="http://schemas.microsoft.com/office/drawing/2014/main" id="{70C90D58-0CC2-43C1-C0BD-F3B5B5E11E2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183009" y="4669512"/>
              <a:ext cx="1935256" cy="1265810"/>
            </a:xfrm>
            <a:prstGeom prst="rect">
              <a:avLst/>
            </a:prstGeom>
          </xdr:spPr>
        </xdr:pic>
        <xdr:sp macro="" textlink="">
          <xdr:nvSpPr>
            <xdr:cNvPr id="713" name="Rectangle 712">
              <a:extLst>
                <a:ext uri="{FF2B5EF4-FFF2-40B4-BE49-F238E27FC236}">
                  <a16:creationId xmlns:a16="http://schemas.microsoft.com/office/drawing/2014/main" id="{8B260422-EFE0-0B07-ECAA-2C353428633D}"/>
                </a:ext>
              </a:extLst>
            </xdr:cNvPr>
            <xdr:cNvSpPr/>
          </xdr:nvSpPr>
          <xdr:spPr>
            <a:xfrm>
              <a:off x="2166446" y="4637853"/>
              <a:ext cx="1943332" cy="1291924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711" name="Rectangle 710">
            <a:extLst>
              <a:ext uri="{FF2B5EF4-FFF2-40B4-BE49-F238E27FC236}">
                <a16:creationId xmlns:a16="http://schemas.microsoft.com/office/drawing/2014/main" id="{78449BAE-9F0F-3B65-B542-28B0B3A27A43}"/>
              </a:ext>
            </a:extLst>
          </xdr:cNvPr>
          <xdr:cNvSpPr/>
        </xdr:nvSpPr>
        <xdr:spPr>
          <a:xfrm>
            <a:off x="9555117" y="10723338"/>
            <a:ext cx="901337" cy="960483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54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E</a:t>
            </a:r>
          </a:p>
        </xdr:txBody>
      </xdr:sp>
    </xdr:grpSp>
    <xdr:clientData/>
  </xdr:twoCellAnchor>
  <xdr:twoCellAnchor>
    <xdr:from>
      <xdr:col>17</xdr:col>
      <xdr:colOff>0</xdr:colOff>
      <xdr:row>43</xdr:row>
      <xdr:rowOff>203200</xdr:rowOff>
    </xdr:from>
    <xdr:to>
      <xdr:col>19</xdr:col>
      <xdr:colOff>0</xdr:colOff>
      <xdr:row>48</xdr:row>
      <xdr:rowOff>88900</xdr:rowOff>
    </xdr:to>
    <xdr:grpSp>
      <xdr:nvGrpSpPr>
        <xdr:cNvPr id="714" name="Group 713">
          <a:extLst>
            <a:ext uri="{FF2B5EF4-FFF2-40B4-BE49-F238E27FC236}">
              <a16:creationId xmlns:a16="http://schemas.microsoft.com/office/drawing/2014/main" id="{E0A89C46-47B2-B347-80F0-7B8BFC6CE921}"/>
            </a:ext>
          </a:extLst>
        </xdr:cNvPr>
        <xdr:cNvGrpSpPr/>
      </xdr:nvGrpSpPr>
      <xdr:grpSpPr>
        <a:xfrm>
          <a:off x="10795000" y="22047200"/>
          <a:ext cx="1270000" cy="2425700"/>
          <a:chOff x="12690315" y="11131003"/>
          <a:chExt cx="2052208" cy="2359298"/>
        </a:xfrm>
      </xdr:grpSpPr>
      <xdr:grpSp>
        <xdr:nvGrpSpPr>
          <xdr:cNvPr id="715" name="Group 714">
            <a:extLst>
              <a:ext uri="{FF2B5EF4-FFF2-40B4-BE49-F238E27FC236}">
                <a16:creationId xmlns:a16="http://schemas.microsoft.com/office/drawing/2014/main" id="{C069B727-3F21-D340-86E2-AD56D6D608C4}"/>
              </a:ext>
            </a:extLst>
          </xdr:cNvPr>
          <xdr:cNvGrpSpPr/>
        </xdr:nvGrpSpPr>
        <xdr:grpSpPr>
          <a:xfrm>
            <a:off x="12690315" y="11131003"/>
            <a:ext cx="2052208" cy="2359298"/>
            <a:chOff x="4697150" y="4663166"/>
            <a:chExt cx="1949975" cy="1266768"/>
          </a:xfrm>
        </xdr:grpSpPr>
        <xdr:pic>
          <xdr:nvPicPr>
            <xdr:cNvPr id="717" name="Picture 716">
              <a:extLst>
                <a:ext uri="{FF2B5EF4-FFF2-40B4-BE49-F238E27FC236}">
                  <a16:creationId xmlns:a16="http://schemas.microsoft.com/office/drawing/2014/main" id="{B7778589-B21B-DC42-44F6-82EDE95ABD2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697150" y="4664124"/>
              <a:ext cx="1932472" cy="1265810"/>
            </a:xfrm>
            <a:prstGeom prst="rect">
              <a:avLst/>
            </a:prstGeom>
          </xdr:spPr>
        </xdr:pic>
        <xdr:sp macro="" textlink="">
          <xdr:nvSpPr>
            <xdr:cNvPr id="718" name="Rectangle 717">
              <a:extLst>
                <a:ext uri="{FF2B5EF4-FFF2-40B4-BE49-F238E27FC236}">
                  <a16:creationId xmlns:a16="http://schemas.microsoft.com/office/drawing/2014/main" id="{B64ACE70-0080-79FF-2E8D-79807D8C569A}"/>
                </a:ext>
              </a:extLst>
            </xdr:cNvPr>
            <xdr:cNvSpPr/>
          </xdr:nvSpPr>
          <xdr:spPr>
            <a:xfrm>
              <a:off x="4704394" y="4663166"/>
              <a:ext cx="1942731" cy="1256872"/>
            </a:xfrm>
            <a:prstGeom prst="rect">
              <a:avLst/>
            </a:prstGeom>
            <a:solidFill>
              <a:schemeClr val="accent2">
                <a:lumMod val="75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716" name="Rectangle 715">
            <a:extLst>
              <a:ext uri="{FF2B5EF4-FFF2-40B4-BE49-F238E27FC236}">
                <a16:creationId xmlns:a16="http://schemas.microsoft.com/office/drawing/2014/main" id="{A55472CA-EAAA-1F8B-C73C-0DEC3D27855B}"/>
              </a:ext>
            </a:extLst>
          </xdr:cNvPr>
          <xdr:cNvSpPr/>
        </xdr:nvSpPr>
        <xdr:spPr>
          <a:xfrm>
            <a:off x="13302706" y="11895558"/>
            <a:ext cx="980077" cy="866482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8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F</a:t>
            </a:r>
          </a:p>
        </xdr:txBody>
      </xdr:sp>
    </xdr:grpSp>
    <xdr:clientData/>
  </xdr:twoCellAnchor>
  <xdr:twoCellAnchor>
    <xdr:from>
      <xdr:col>22</xdr:col>
      <xdr:colOff>16327</xdr:colOff>
      <xdr:row>42</xdr:row>
      <xdr:rowOff>127001</xdr:rowOff>
    </xdr:from>
    <xdr:to>
      <xdr:col>24</xdr:col>
      <xdr:colOff>20526</xdr:colOff>
      <xdr:row>48</xdr:row>
      <xdr:rowOff>406684</xdr:rowOff>
    </xdr:to>
    <xdr:grpSp>
      <xdr:nvGrpSpPr>
        <xdr:cNvPr id="719" name="Group 718">
          <a:extLst>
            <a:ext uri="{FF2B5EF4-FFF2-40B4-BE49-F238E27FC236}">
              <a16:creationId xmlns:a16="http://schemas.microsoft.com/office/drawing/2014/main" id="{352C08E2-B1C1-E741-BEC1-571FDF18AB2F}"/>
            </a:ext>
          </a:extLst>
        </xdr:cNvPr>
        <xdr:cNvGrpSpPr/>
      </xdr:nvGrpSpPr>
      <xdr:grpSpPr>
        <a:xfrm>
          <a:off x="13986327" y="21463001"/>
          <a:ext cx="1274199" cy="3327683"/>
          <a:chOff x="398610" y="5025569"/>
          <a:chExt cx="2313215" cy="2385787"/>
        </a:xfrm>
      </xdr:grpSpPr>
      <xdr:grpSp>
        <xdr:nvGrpSpPr>
          <xdr:cNvPr id="720" name="Group 719">
            <a:extLst>
              <a:ext uri="{FF2B5EF4-FFF2-40B4-BE49-F238E27FC236}">
                <a16:creationId xmlns:a16="http://schemas.microsoft.com/office/drawing/2014/main" id="{854DA8F9-D787-CBB7-F1D1-9171522BA455}"/>
              </a:ext>
            </a:extLst>
          </xdr:cNvPr>
          <xdr:cNvGrpSpPr/>
        </xdr:nvGrpSpPr>
        <xdr:grpSpPr>
          <a:xfrm>
            <a:off x="398610" y="5025569"/>
            <a:ext cx="2313215" cy="2385787"/>
            <a:chOff x="1705668" y="3495864"/>
            <a:chExt cx="3091222" cy="932854"/>
          </a:xfrm>
        </xdr:grpSpPr>
        <xdr:pic>
          <xdr:nvPicPr>
            <xdr:cNvPr id="722" name="Picture 721">
              <a:extLst>
                <a:ext uri="{FF2B5EF4-FFF2-40B4-BE49-F238E27FC236}">
                  <a16:creationId xmlns:a16="http://schemas.microsoft.com/office/drawing/2014/main" id="{103C6DF4-21C8-ADF0-F704-109D05AFBB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1813871" y="3496103"/>
              <a:ext cx="2902414" cy="918295"/>
            </a:xfrm>
            <a:prstGeom prst="rect">
              <a:avLst/>
            </a:prstGeom>
          </xdr:spPr>
        </xdr:pic>
        <xdr:sp macro="" textlink="">
          <xdr:nvSpPr>
            <xdr:cNvPr id="723" name="Rectangle 722">
              <a:extLst>
                <a:ext uri="{FF2B5EF4-FFF2-40B4-BE49-F238E27FC236}">
                  <a16:creationId xmlns:a16="http://schemas.microsoft.com/office/drawing/2014/main" id="{AC03C2BF-66B9-B391-67B3-5F5F59BDA069}"/>
                </a:ext>
              </a:extLst>
            </xdr:cNvPr>
            <xdr:cNvSpPr/>
          </xdr:nvSpPr>
          <xdr:spPr>
            <a:xfrm>
              <a:off x="1705668" y="3495864"/>
              <a:ext cx="3091222" cy="932854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721" name="TextBox 720">
            <a:extLst>
              <a:ext uri="{FF2B5EF4-FFF2-40B4-BE49-F238E27FC236}">
                <a16:creationId xmlns:a16="http://schemas.microsoft.com/office/drawing/2014/main" id="{C0152961-901C-1982-8569-EB3F9EF4B987}"/>
              </a:ext>
            </a:extLst>
          </xdr:cNvPr>
          <xdr:cNvSpPr txBox="1"/>
        </xdr:nvSpPr>
        <xdr:spPr>
          <a:xfrm>
            <a:off x="1097642" y="5669643"/>
            <a:ext cx="807357" cy="1112356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clip" horzOverflow="clip" vert="horz" wrap="square" lIns="50800" tIns="50800" rIns="50800" bIns="50800" numCol="1" spcCol="38100" rtlCol="0" anchor="t">
            <a:spAutoFit/>
          </a:bodyPr>
          <a:lstStyle/>
          <a:p>
            <a:pPr marL="0" marR="0" indent="0" algn="l" defTabSz="457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6600" b="0" i="0" u="none" strike="noStrike" cap="none" spc="0" normalizeH="0" baseline="0">
                <a:ln>
                  <a:noFill/>
                </a:ln>
                <a:solidFill>
                  <a:schemeClr val="bg1"/>
                </a:solidFill>
                <a:effectLst/>
                <a:uFillTx/>
                <a:latin typeface="+mn-lt"/>
                <a:ea typeface="+mn-ea"/>
                <a:cs typeface="+mn-cs"/>
                <a:sym typeface="Helvetica Neue"/>
              </a:rPr>
              <a:t>I</a:t>
            </a:r>
          </a:p>
        </xdr:txBody>
      </xdr:sp>
    </xdr:grpSp>
    <xdr:clientData/>
  </xdr:twoCellAnchor>
  <xdr:twoCellAnchor>
    <xdr:from>
      <xdr:col>20</xdr:col>
      <xdr:colOff>12700</xdr:colOff>
      <xdr:row>42</xdr:row>
      <xdr:rowOff>228600</xdr:rowOff>
    </xdr:from>
    <xdr:to>
      <xdr:col>22</xdr:col>
      <xdr:colOff>0</xdr:colOff>
      <xdr:row>48</xdr:row>
      <xdr:rowOff>283155</xdr:rowOff>
    </xdr:to>
    <xdr:grpSp>
      <xdr:nvGrpSpPr>
        <xdr:cNvPr id="724" name="Group 723">
          <a:extLst>
            <a:ext uri="{FF2B5EF4-FFF2-40B4-BE49-F238E27FC236}">
              <a16:creationId xmlns:a16="http://schemas.microsoft.com/office/drawing/2014/main" id="{ACCF343F-ED44-874B-8721-0B0A687FA24C}"/>
            </a:ext>
          </a:extLst>
        </xdr:cNvPr>
        <xdr:cNvGrpSpPr/>
      </xdr:nvGrpSpPr>
      <xdr:grpSpPr>
        <a:xfrm>
          <a:off x="12712700" y="21564600"/>
          <a:ext cx="1257300" cy="3102555"/>
          <a:chOff x="3655786" y="1115787"/>
          <a:chExt cx="1914071" cy="2458355"/>
        </a:xfrm>
      </xdr:grpSpPr>
      <xdr:grpSp>
        <xdr:nvGrpSpPr>
          <xdr:cNvPr id="725" name="Group 724">
            <a:extLst>
              <a:ext uri="{FF2B5EF4-FFF2-40B4-BE49-F238E27FC236}">
                <a16:creationId xmlns:a16="http://schemas.microsoft.com/office/drawing/2014/main" id="{1E574D17-A828-B754-2C54-709B36120F63}"/>
              </a:ext>
            </a:extLst>
          </xdr:cNvPr>
          <xdr:cNvGrpSpPr/>
        </xdr:nvGrpSpPr>
        <xdr:grpSpPr>
          <a:xfrm>
            <a:off x="3655786" y="1115787"/>
            <a:ext cx="1914071" cy="2458355"/>
            <a:chOff x="6198908" y="1900224"/>
            <a:chExt cx="1311025" cy="1294313"/>
          </a:xfrm>
        </xdr:grpSpPr>
        <xdr:pic>
          <xdr:nvPicPr>
            <xdr:cNvPr id="727" name="Picture 726">
              <a:extLst>
                <a:ext uri="{FF2B5EF4-FFF2-40B4-BE49-F238E27FC236}">
                  <a16:creationId xmlns:a16="http://schemas.microsoft.com/office/drawing/2014/main" id="{C0FFE5C4-A64A-AAD3-EBCE-382EC3EEA18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6206067" y="1904999"/>
              <a:ext cx="1303866" cy="1250885"/>
            </a:xfrm>
            <a:prstGeom prst="rect">
              <a:avLst/>
            </a:prstGeom>
          </xdr:spPr>
        </xdr:pic>
        <xdr:sp macro="" textlink="">
          <xdr:nvSpPr>
            <xdr:cNvPr id="728" name="Rectangle 727">
              <a:extLst>
                <a:ext uri="{FF2B5EF4-FFF2-40B4-BE49-F238E27FC236}">
                  <a16:creationId xmlns:a16="http://schemas.microsoft.com/office/drawing/2014/main" id="{D88EDF77-0423-6083-1619-9C6DF38960AF}"/>
                </a:ext>
              </a:extLst>
            </xdr:cNvPr>
            <xdr:cNvSpPr/>
          </xdr:nvSpPr>
          <xdr:spPr>
            <a:xfrm>
              <a:off x="6198908" y="1900224"/>
              <a:ext cx="1304812" cy="1294313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726" name="Rectangle 725">
            <a:extLst>
              <a:ext uri="{FF2B5EF4-FFF2-40B4-BE49-F238E27FC236}">
                <a16:creationId xmlns:a16="http://schemas.microsoft.com/office/drawing/2014/main" id="{381EBAF3-2F15-1CA3-F73B-88080851CBAD}"/>
              </a:ext>
            </a:extLst>
          </xdr:cNvPr>
          <xdr:cNvSpPr/>
        </xdr:nvSpPr>
        <xdr:spPr>
          <a:xfrm>
            <a:off x="4172857" y="1940113"/>
            <a:ext cx="889000" cy="791563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44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D</a:t>
            </a:r>
          </a:p>
        </xdr:txBody>
      </xdr:sp>
    </xdr:grpSp>
    <xdr:clientData/>
  </xdr:twoCellAnchor>
  <xdr:twoCellAnchor>
    <xdr:from>
      <xdr:col>19</xdr:col>
      <xdr:colOff>1</xdr:colOff>
      <xdr:row>44</xdr:row>
      <xdr:rowOff>14513</xdr:rowOff>
    </xdr:from>
    <xdr:to>
      <xdr:col>20</xdr:col>
      <xdr:colOff>0</xdr:colOff>
      <xdr:row>47</xdr:row>
      <xdr:rowOff>25400</xdr:rowOff>
    </xdr:to>
    <xdr:grpSp>
      <xdr:nvGrpSpPr>
        <xdr:cNvPr id="729" name="Group 728">
          <a:extLst>
            <a:ext uri="{FF2B5EF4-FFF2-40B4-BE49-F238E27FC236}">
              <a16:creationId xmlns:a16="http://schemas.microsoft.com/office/drawing/2014/main" id="{A9638324-43E8-7A42-B41B-586ACADEE4BD}"/>
            </a:ext>
          </a:extLst>
        </xdr:cNvPr>
        <xdr:cNvGrpSpPr/>
      </xdr:nvGrpSpPr>
      <xdr:grpSpPr>
        <a:xfrm>
          <a:off x="12065001" y="22366513"/>
          <a:ext cx="634999" cy="1534887"/>
          <a:chOff x="486956" y="1091837"/>
          <a:chExt cx="1152433" cy="1261292"/>
        </a:xfrm>
      </xdr:grpSpPr>
      <xdr:grpSp>
        <xdr:nvGrpSpPr>
          <xdr:cNvPr id="730" name="Group 729">
            <a:extLst>
              <a:ext uri="{FF2B5EF4-FFF2-40B4-BE49-F238E27FC236}">
                <a16:creationId xmlns:a16="http://schemas.microsoft.com/office/drawing/2014/main" id="{874CBAAF-500F-0D3A-C5F6-604F3FFE6560}"/>
              </a:ext>
            </a:extLst>
          </xdr:cNvPr>
          <xdr:cNvGrpSpPr/>
        </xdr:nvGrpSpPr>
        <xdr:grpSpPr>
          <a:xfrm>
            <a:off x="486956" y="1091837"/>
            <a:ext cx="1152433" cy="1261292"/>
            <a:chOff x="3253006" y="1912346"/>
            <a:chExt cx="1335928" cy="1313453"/>
          </a:xfrm>
          <a:solidFill>
            <a:schemeClr val="accent2">
              <a:lumMod val="75000"/>
            </a:schemeClr>
          </a:solidFill>
        </xdr:grpSpPr>
        <xdr:pic>
          <xdr:nvPicPr>
            <xdr:cNvPr id="732" name="Picture 731">
              <a:extLst>
                <a:ext uri="{FF2B5EF4-FFF2-40B4-BE49-F238E27FC236}">
                  <a16:creationId xmlns:a16="http://schemas.microsoft.com/office/drawing/2014/main" id="{60A0688D-5E61-30EF-4358-C15F9EB93EB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285067" y="1921933"/>
              <a:ext cx="1303866" cy="1303866"/>
            </a:xfrm>
            <a:prstGeom prst="rect">
              <a:avLst/>
            </a:prstGeom>
            <a:grpFill/>
          </xdr:spPr>
        </xdr:pic>
        <xdr:sp macro="" textlink="">
          <xdr:nvSpPr>
            <xdr:cNvPr id="733" name="Rectangle 732">
              <a:extLst>
                <a:ext uri="{FF2B5EF4-FFF2-40B4-BE49-F238E27FC236}">
                  <a16:creationId xmlns:a16="http://schemas.microsoft.com/office/drawing/2014/main" id="{6A776CA0-BFFF-7EDB-9A22-C00F5F7F9D5D}"/>
                </a:ext>
              </a:extLst>
            </xdr:cNvPr>
            <xdr:cNvSpPr/>
          </xdr:nvSpPr>
          <xdr:spPr>
            <a:xfrm>
              <a:off x="3253006" y="1912346"/>
              <a:ext cx="1335928" cy="1284690"/>
            </a:xfrm>
            <a:prstGeom prst="rect">
              <a:avLst/>
            </a:prstGeom>
            <a:grpFill/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731" name="Rectangle 730">
            <a:extLst>
              <a:ext uri="{FF2B5EF4-FFF2-40B4-BE49-F238E27FC236}">
                <a16:creationId xmlns:a16="http://schemas.microsoft.com/office/drawing/2014/main" id="{B4F825E9-2C8B-6B71-C2C3-5F24140A70C6}"/>
              </a:ext>
            </a:extLst>
          </xdr:cNvPr>
          <xdr:cNvSpPr/>
        </xdr:nvSpPr>
        <xdr:spPr>
          <a:xfrm>
            <a:off x="759098" y="1331836"/>
            <a:ext cx="574765" cy="678610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36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C</a:t>
            </a:r>
          </a:p>
        </xdr:txBody>
      </xdr:sp>
    </xdr:grpSp>
    <xdr:clientData/>
  </xdr:twoCellAnchor>
  <xdr:twoCellAnchor>
    <xdr:from>
      <xdr:col>24</xdr:col>
      <xdr:colOff>25401</xdr:colOff>
      <xdr:row>44</xdr:row>
      <xdr:rowOff>1</xdr:rowOff>
    </xdr:from>
    <xdr:to>
      <xdr:col>27</xdr:col>
      <xdr:colOff>12701</xdr:colOff>
      <xdr:row>46</xdr:row>
      <xdr:rowOff>500015</xdr:rowOff>
    </xdr:to>
    <xdr:grpSp>
      <xdr:nvGrpSpPr>
        <xdr:cNvPr id="734" name="Group 733">
          <a:extLst>
            <a:ext uri="{FF2B5EF4-FFF2-40B4-BE49-F238E27FC236}">
              <a16:creationId xmlns:a16="http://schemas.microsoft.com/office/drawing/2014/main" id="{1D1BF416-8C36-7B48-9485-6E967CDEC270}"/>
            </a:ext>
          </a:extLst>
        </xdr:cNvPr>
        <xdr:cNvGrpSpPr/>
      </xdr:nvGrpSpPr>
      <xdr:grpSpPr>
        <a:xfrm>
          <a:off x="15265401" y="22352001"/>
          <a:ext cx="1892300" cy="1516014"/>
          <a:chOff x="7415704" y="5252355"/>
          <a:chExt cx="3184873" cy="2966360"/>
        </a:xfrm>
      </xdr:grpSpPr>
      <xdr:grpSp>
        <xdr:nvGrpSpPr>
          <xdr:cNvPr id="735" name="Group 734">
            <a:extLst>
              <a:ext uri="{FF2B5EF4-FFF2-40B4-BE49-F238E27FC236}">
                <a16:creationId xmlns:a16="http://schemas.microsoft.com/office/drawing/2014/main" id="{095588A9-8141-31AD-7A97-9900CCF635C5}"/>
              </a:ext>
            </a:extLst>
          </xdr:cNvPr>
          <xdr:cNvGrpSpPr/>
        </xdr:nvGrpSpPr>
        <xdr:grpSpPr>
          <a:xfrm>
            <a:off x="7415704" y="5252355"/>
            <a:ext cx="3184873" cy="2966360"/>
            <a:chOff x="5969000" y="3563312"/>
            <a:chExt cx="3056466" cy="926876"/>
          </a:xfrm>
        </xdr:grpSpPr>
        <xdr:pic>
          <xdr:nvPicPr>
            <xdr:cNvPr id="737" name="Picture 736">
              <a:extLst>
                <a:ext uri="{FF2B5EF4-FFF2-40B4-BE49-F238E27FC236}">
                  <a16:creationId xmlns:a16="http://schemas.microsoft.com/office/drawing/2014/main" id="{0BC22A40-5A7B-4874-D6EB-19A0D5ED648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5969000" y="3564467"/>
              <a:ext cx="3056466" cy="876251"/>
            </a:xfrm>
            <a:prstGeom prst="rect">
              <a:avLst/>
            </a:prstGeom>
          </xdr:spPr>
        </xdr:pic>
        <xdr:sp macro="" textlink="">
          <xdr:nvSpPr>
            <xdr:cNvPr id="738" name="Rectangle 737">
              <a:extLst>
                <a:ext uri="{FF2B5EF4-FFF2-40B4-BE49-F238E27FC236}">
                  <a16:creationId xmlns:a16="http://schemas.microsoft.com/office/drawing/2014/main" id="{16BDF28E-9124-A86E-8259-8698025D5512}"/>
                </a:ext>
              </a:extLst>
            </xdr:cNvPr>
            <xdr:cNvSpPr/>
          </xdr:nvSpPr>
          <xdr:spPr>
            <a:xfrm>
              <a:off x="5982239" y="3563312"/>
              <a:ext cx="3038286" cy="926876"/>
            </a:xfrm>
            <a:prstGeom prst="rect">
              <a:avLst/>
            </a:prstGeom>
            <a:solidFill>
              <a:schemeClr val="accent1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endParaRPr kumimoji="0" lang="en-US" sz="1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endParaRPr>
            </a:p>
          </xdr:txBody>
        </xdr:sp>
      </xdr:grpSp>
      <xdr:sp macro="" textlink="">
        <xdr:nvSpPr>
          <xdr:cNvPr id="736" name="Rectangle 735">
            <a:extLst>
              <a:ext uri="{FF2B5EF4-FFF2-40B4-BE49-F238E27FC236}">
                <a16:creationId xmlns:a16="http://schemas.microsoft.com/office/drawing/2014/main" id="{5EF55622-0A92-027D-142A-D452A9A6E54F}"/>
              </a:ext>
            </a:extLst>
          </xdr:cNvPr>
          <xdr:cNvSpPr/>
        </xdr:nvSpPr>
        <xdr:spPr>
          <a:xfrm>
            <a:off x="8236857" y="5866530"/>
            <a:ext cx="1433286" cy="1230017"/>
          </a:xfrm>
          <a:prstGeom prst="rect">
            <a:avLst/>
          </a:prstGeom>
          <a:solidFill>
            <a:srgbClr val="000000"/>
          </a:solidFill>
          <a:ln w="12700" cap="flat">
            <a:noFill/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sp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r>
              <a:rPr kumimoji="0" lang="en-US" sz="7200" b="0" i="0" u="none" strike="noStrike" cap="none" spc="0" normalizeH="0" baseline="0">
                <a:ln>
                  <a:noFill/>
                </a:ln>
                <a:solidFill>
                  <a:srgbClr val="FFFFFF"/>
                </a:solidFill>
                <a:effectLst/>
                <a:uFillTx/>
                <a:latin typeface="Helvetica Neue Medium"/>
                <a:ea typeface="Helvetica Neue Medium"/>
                <a:cs typeface="Helvetica Neue Medium"/>
                <a:sym typeface="Helvetica Neue Medium"/>
              </a:rPr>
              <a:t>J</a:t>
            </a:r>
          </a:p>
        </xdr:txBody>
      </xdr:sp>
    </xdr:grpSp>
    <xdr:clientData/>
  </xdr:twoCellAnchor>
  <xdr:twoCellAnchor>
    <xdr:from>
      <xdr:col>16</xdr:col>
      <xdr:colOff>444500</xdr:colOff>
      <xdr:row>43</xdr:row>
      <xdr:rowOff>279400</xdr:rowOff>
    </xdr:from>
    <xdr:to>
      <xdr:col>17</xdr:col>
      <xdr:colOff>282222</xdr:colOff>
      <xdr:row>43</xdr:row>
      <xdr:rowOff>481948</xdr:rowOff>
    </xdr:to>
    <xdr:sp macro="" textlink="">
      <xdr:nvSpPr>
        <xdr:cNvPr id="739" name="Right Arrow 738">
          <a:extLst>
            <a:ext uri="{FF2B5EF4-FFF2-40B4-BE49-F238E27FC236}">
              <a16:creationId xmlns:a16="http://schemas.microsoft.com/office/drawing/2014/main" id="{4ADB3FF5-AF5E-7D41-A0DA-5EC4864371A8}"/>
            </a:ext>
          </a:extLst>
        </xdr:cNvPr>
        <xdr:cNvSpPr/>
      </xdr:nvSpPr>
      <xdr:spPr>
        <a:xfrm>
          <a:off x="4254500" y="7899400"/>
          <a:ext cx="472722" cy="202548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355600</xdr:colOff>
      <xdr:row>46</xdr:row>
      <xdr:rowOff>266700</xdr:rowOff>
    </xdr:from>
    <xdr:to>
      <xdr:col>19</xdr:col>
      <xdr:colOff>193322</xdr:colOff>
      <xdr:row>46</xdr:row>
      <xdr:rowOff>469248</xdr:rowOff>
    </xdr:to>
    <xdr:sp macro="" textlink="">
      <xdr:nvSpPr>
        <xdr:cNvPr id="740" name="Right Arrow 739">
          <a:extLst>
            <a:ext uri="{FF2B5EF4-FFF2-40B4-BE49-F238E27FC236}">
              <a16:creationId xmlns:a16="http://schemas.microsoft.com/office/drawing/2014/main" id="{5A7FF26D-4D93-7E4D-8B12-C5EB8651405E}"/>
            </a:ext>
          </a:extLst>
        </xdr:cNvPr>
        <xdr:cNvSpPr/>
      </xdr:nvSpPr>
      <xdr:spPr>
        <a:xfrm>
          <a:off x="5435600" y="9410700"/>
          <a:ext cx="472722" cy="202548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444500</xdr:colOff>
      <xdr:row>44</xdr:row>
      <xdr:rowOff>50800</xdr:rowOff>
    </xdr:from>
    <xdr:to>
      <xdr:col>20</xdr:col>
      <xdr:colOff>282222</xdr:colOff>
      <xdr:row>44</xdr:row>
      <xdr:rowOff>253348</xdr:rowOff>
    </xdr:to>
    <xdr:sp macro="" textlink="">
      <xdr:nvSpPr>
        <xdr:cNvPr id="741" name="Right Arrow 740">
          <a:extLst>
            <a:ext uri="{FF2B5EF4-FFF2-40B4-BE49-F238E27FC236}">
              <a16:creationId xmlns:a16="http://schemas.microsoft.com/office/drawing/2014/main" id="{5983367F-7433-5E4B-AE05-C1DC5290553B}"/>
            </a:ext>
          </a:extLst>
        </xdr:cNvPr>
        <xdr:cNvSpPr/>
      </xdr:nvSpPr>
      <xdr:spPr>
        <a:xfrm>
          <a:off x="6159500" y="8178800"/>
          <a:ext cx="472722" cy="202548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419100</xdr:colOff>
      <xdr:row>46</xdr:row>
      <xdr:rowOff>406400</xdr:rowOff>
    </xdr:from>
    <xdr:to>
      <xdr:col>22</xdr:col>
      <xdr:colOff>256822</xdr:colOff>
      <xdr:row>47</xdr:row>
      <xdr:rowOff>100948</xdr:rowOff>
    </xdr:to>
    <xdr:sp macro="" textlink="">
      <xdr:nvSpPr>
        <xdr:cNvPr id="742" name="Right Arrow 741">
          <a:extLst>
            <a:ext uri="{FF2B5EF4-FFF2-40B4-BE49-F238E27FC236}">
              <a16:creationId xmlns:a16="http://schemas.microsoft.com/office/drawing/2014/main" id="{9F855EFB-95B3-0240-8B89-812B72D7B01D}"/>
            </a:ext>
          </a:extLst>
        </xdr:cNvPr>
        <xdr:cNvSpPr/>
      </xdr:nvSpPr>
      <xdr:spPr>
        <a:xfrm>
          <a:off x="7404100" y="9550400"/>
          <a:ext cx="472722" cy="202548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419100</xdr:colOff>
      <xdr:row>44</xdr:row>
      <xdr:rowOff>215900</xdr:rowOff>
    </xdr:from>
    <xdr:to>
      <xdr:col>24</xdr:col>
      <xdr:colOff>256822</xdr:colOff>
      <xdr:row>44</xdr:row>
      <xdr:rowOff>418448</xdr:rowOff>
    </xdr:to>
    <xdr:sp macro="" textlink="">
      <xdr:nvSpPr>
        <xdr:cNvPr id="743" name="Right Arrow 742">
          <a:extLst>
            <a:ext uri="{FF2B5EF4-FFF2-40B4-BE49-F238E27FC236}">
              <a16:creationId xmlns:a16="http://schemas.microsoft.com/office/drawing/2014/main" id="{E7775465-0EA2-8841-9930-5A1B4BE8A50A}"/>
            </a:ext>
          </a:extLst>
        </xdr:cNvPr>
        <xdr:cNvSpPr/>
      </xdr:nvSpPr>
      <xdr:spPr>
        <a:xfrm>
          <a:off x="8674100" y="8343900"/>
          <a:ext cx="472722" cy="202548"/>
        </a:xfrm>
        <a:prstGeom prst="right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152400</xdr:colOff>
      <xdr:row>6</xdr:row>
      <xdr:rowOff>279400</xdr:rowOff>
    </xdr:from>
    <xdr:to>
      <xdr:col>47</xdr:col>
      <xdr:colOff>305548</xdr:colOff>
      <xdr:row>42</xdr:row>
      <xdr:rowOff>260911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86E34E91-E1BB-0941-8179-D1DBA2AE58D3}"/>
            </a:ext>
          </a:extLst>
        </xdr:cNvPr>
        <xdr:cNvGrpSpPr/>
      </xdr:nvGrpSpPr>
      <xdr:grpSpPr>
        <a:xfrm>
          <a:off x="4876800" y="2641600"/>
          <a:ext cx="14694648" cy="14154711"/>
          <a:chOff x="7526751" y="3922981"/>
          <a:chExt cx="5512066" cy="4337986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57C927A2-8C14-71C4-23D0-F6C12283CEC6}"/>
              </a:ext>
            </a:extLst>
          </xdr:cNvPr>
          <xdr:cNvGrpSpPr/>
        </xdr:nvGrpSpPr>
        <xdr:grpSpPr>
          <a:xfrm>
            <a:off x="8775966" y="4525999"/>
            <a:ext cx="728430" cy="921494"/>
            <a:chOff x="-1217594" y="3829242"/>
            <a:chExt cx="1739319" cy="1688338"/>
          </a:xfrm>
        </xdr:grpSpPr>
        <xdr:grpSp>
          <xdr:nvGrpSpPr>
            <xdr:cNvPr id="60" name="Group 59">
              <a:extLst>
                <a:ext uri="{FF2B5EF4-FFF2-40B4-BE49-F238E27FC236}">
                  <a16:creationId xmlns:a16="http://schemas.microsoft.com/office/drawing/2014/main" id="{850937C4-3835-8ED8-7BF4-E25F18C273AD}"/>
                </a:ext>
              </a:extLst>
            </xdr:cNvPr>
            <xdr:cNvGrpSpPr/>
          </xdr:nvGrpSpPr>
          <xdr:grpSpPr>
            <a:xfrm>
              <a:off x="-1217594" y="3829242"/>
              <a:ext cx="1739319" cy="1688338"/>
              <a:chOff x="-454114" y="3028094"/>
              <a:chExt cx="2324305" cy="660148"/>
            </a:xfrm>
          </xdr:grpSpPr>
          <xdr:pic>
            <xdr:nvPicPr>
              <xdr:cNvPr id="62" name="Picture 61">
                <a:extLst>
                  <a:ext uri="{FF2B5EF4-FFF2-40B4-BE49-F238E27FC236}">
                    <a16:creationId xmlns:a16="http://schemas.microsoft.com/office/drawing/2014/main" id="{D213FAA8-BA52-ACC3-A93F-33433E4757E1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"/>
              <a:stretch>
                <a:fillRect/>
              </a:stretch>
            </xdr:blipFill>
            <xdr:spPr>
              <a:xfrm>
                <a:off x="-454114" y="3042090"/>
                <a:ext cx="2293238" cy="646152"/>
              </a:xfrm>
              <a:prstGeom prst="rect">
                <a:avLst/>
              </a:prstGeom>
            </xdr:spPr>
          </xdr:pic>
          <xdr:sp macro="" textlink="">
            <xdr:nvSpPr>
              <xdr:cNvPr id="63" name="Rectangle 62">
                <a:extLst>
                  <a:ext uri="{FF2B5EF4-FFF2-40B4-BE49-F238E27FC236}">
                    <a16:creationId xmlns:a16="http://schemas.microsoft.com/office/drawing/2014/main" id="{3BBB6E0F-6ADC-4527-B290-113EF41652FF}"/>
                  </a:ext>
                </a:extLst>
              </xdr:cNvPr>
              <xdr:cNvSpPr/>
            </xdr:nvSpPr>
            <xdr:spPr>
              <a:xfrm>
                <a:off x="-433556" y="3028094"/>
                <a:ext cx="2303747" cy="639512"/>
              </a:xfrm>
              <a:prstGeom prst="rect">
                <a:avLst/>
              </a:prstGeom>
              <a:solidFill>
                <a:srgbClr val="000000"/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no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84FF53FD-53C4-ABFA-72CF-8E572F3FA2B6}"/>
                </a:ext>
              </a:extLst>
            </xdr:cNvPr>
            <xdr:cNvSpPr txBox="1"/>
          </xdr:nvSpPr>
          <xdr:spPr>
            <a:xfrm>
              <a:off x="-576281" y="3945522"/>
              <a:ext cx="807358" cy="1112354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clip" horzOverflow="clip" vert="horz" wrap="square" lIns="50800" tIns="50800" rIns="50800" bIns="50800" numCol="1" spcCol="38100" rtlCol="0" anchor="t">
              <a:spAutoFit/>
            </a:bodyPr>
            <a:lstStyle/>
            <a:p>
              <a:pPr marL="0" marR="0" indent="0" algn="l" defTabSz="457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6600" b="0" i="0" u="none" strike="noStrike" cap="none" spc="0" normalizeH="0" baseline="0">
                  <a:ln>
                    <a:noFill/>
                  </a:ln>
                  <a:solidFill>
                    <a:schemeClr val="bg1"/>
                  </a:solidFill>
                  <a:effectLst/>
                  <a:uFillTx/>
                  <a:latin typeface="+mn-lt"/>
                  <a:ea typeface="+mn-ea"/>
                  <a:cs typeface="+mn-cs"/>
                  <a:sym typeface="Helvetica Neue"/>
                </a:rPr>
                <a:t>I</a:t>
              </a:r>
            </a:p>
          </xdr:txBody>
        </xdr:sp>
      </xdr:grpSp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61798C6E-2E3D-4B05-7720-CA4931761A55}"/>
              </a:ext>
            </a:extLst>
          </xdr:cNvPr>
          <xdr:cNvGrpSpPr/>
        </xdr:nvGrpSpPr>
        <xdr:grpSpPr>
          <a:xfrm>
            <a:off x="9504396" y="4245611"/>
            <a:ext cx="1606556" cy="760178"/>
            <a:chOff x="5992380" y="4776618"/>
            <a:chExt cx="2499512" cy="1448555"/>
          </a:xfrm>
        </xdr:grpSpPr>
        <xdr:grpSp>
          <xdr:nvGrpSpPr>
            <xdr:cNvPr id="56" name="Group 55">
              <a:extLst>
                <a:ext uri="{FF2B5EF4-FFF2-40B4-BE49-F238E27FC236}">
                  <a16:creationId xmlns:a16="http://schemas.microsoft.com/office/drawing/2014/main" id="{BA0EC6D9-016E-782B-D285-6B3DD451BC3A}"/>
                </a:ext>
              </a:extLst>
            </xdr:cNvPr>
            <xdr:cNvGrpSpPr/>
          </xdr:nvGrpSpPr>
          <xdr:grpSpPr>
            <a:xfrm>
              <a:off x="5992380" y="4776618"/>
              <a:ext cx="2499512" cy="1448555"/>
              <a:chOff x="4603061" y="3414662"/>
              <a:chExt cx="2398737" cy="452619"/>
            </a:xfrm>
          </xdr:grpSpPr>
          <xdr:pic>
            <xdr:nvPicPr>
              <xdr:cNvPr id="58" name="Picture 57">
                <a:extLst>
                  <a:ext uri="{FF2B5EF4-FFF2-40B4-BE49-F238E27FC236}">
                    <a16:creationId xmlns:a16="http://schemas.microsoft.com/office/drawing/2014/main" id="{A1CCBACF-9014-FB43-C06F-2898CB134BEF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"/>
              <a:stretch>
                <a:fillRect/>
              </a:stretch>
            </xdr:blipFill>
            <xdr:spPr>
              <a:xfrm>
                <a:off x="4661213" y="3415817"/>
                <a:ext cx="2340585" cy="451464"/>
              </a:xfrm>
              <a:prstGeom prst="rect">
                <a:avLst/>
              </a:prstGeom>
            </xdr:spPr>
          </xdr:pic>
          <xdr:sp macro="" textlink="">
            <xdr:nvSpPr>
              <xdr:cNvPr id="59" name="Rectangle 58">
                <a:extLst>
                  <a:ext uri="{FF2B5EF4-FFF2-40B4-BE49-F238E27FC236}">
                    <a16:creationId xmlns:a16="http://schemas.microsoft.com/office/drawing/2014/main" id="{177AB797-10D6-CD6C-CF7B-166948DC6FC7}"/>
                  </a:ext>
                </a:extLst>
              </xdr:cNvPr>
              <xdr:cNvSpPr/>
            </xdr:nvSpPr>
            <xdr:spPr>
              <a:xfrm>
                <a:off x="4603061" y="3414662"/>
                <a:ext cx="2340589" cy="452619"/>
              </a:xfrm>
              <a:prstGeom prst="rect">
                <a:avLst/>
              </a:prstGeom>
              <a:solidFill>
                <a:schemeClr val="accent1"/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no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E9A68519-6542-FBED-BF7A-C9799FA99DAF}"/>
                </a:ext>
              </a:extLst>
            </xdr:cNvPr>
            <xdr:cNvSpPr/>
          </xdr:nvSpPr>
          <xdr:spPr>
            <a:xfrm>
              <a:off x="6358435" y="4841861"/>
              <a:ext cx="1433286" cy="1230017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7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J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3CCE027B-4E39-C536-5D94-87C20D8A8AC2}"/>
              </a:ext>
            </a:extLst>
          </xdr:cNvPr>
          <xdr:cNvGrpSpPr/>
        </xdr:nvGrpSpPr>
        <xdr:grpSpPr>
          <a:xfrm rot="5400000">
            <a:off x="9536201" y="5030102"/>
            <a:ext cx="946615" cy="1808635"/>
            <a:chOff x="1756054" y="10732959"/>
            <a:chExt cx="2272304" cy="2339897"/>
          </a:xfrm>
        </xdr:grpSpPr>
        <xdr:grpSp>
          <xdr:nvGrpSpPr>
            <xdr:cNvPr id="52" name="Group 51">
              <a:extLst>
                <a:ext uri="{FF2B5EF4-FFF2-40B4-BE49-F238E27FC236}">
                  <a16:creationId xmlns:a16="http://schemas.microsoft.com/office/drawing/2014/main" id="{0692C6B7-D403-DAFF-ABA9-63EF6624471D}"/>
                </a:ext>
              </a:extLst>
            </xdr:cNvPr>
            <xdr:cNvGrpSpPr/>
          </xdr:nvGrpSpPr>
          <xdr:grpSpPr>
            <a:xfrm>
              <a:off x="1756054" y="10732959"/>
              <a:ext cx="2272304" cy="2339897"/>
              <a:chOff x="2874793" y="3663810"/>
              <a:chExt cx="2834723" cy="878748"/>
            </a:xfrm>
          </xdr:grpSpPr>
          <xdr:pic>
            <xdr:nvPicPr>
              <xdr:cNvPr id="54" name="Picture 53">
                <a:extLst>
                  <a:ext uri="{FF2B5EF4-FFF2-40B4-BE49-F238E27FC236}">
                    <a16:creationId xmlns:a16="http://schemas.microsoft.com/office/drawing/2014/main" id="{18CFF344-B3D5-111F-BDA1-8983CDDB90AB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"/>
              <a:stretch>
                <a:fillRect/>
              </a:stretch>
            </xdr:blipFill>
            <xdr:spPr>
              <a:xfrm>
                <a:off x="2892223" y="3682734"/>
                <a:ext cx="2817288" cy="859824"/>
              </a:xfrm>
              <a:prstGeom prst="rect">
                <a:avLst/>
              </a:prstGeom>
            </xdr:spPr>
          </xdr:pic>
          <xdr:sp macro="" textlink="">
            <xdr:nvSpPr>
              <xdr:cNvPr id="55" name="Rectangle 54">
                <a:extLst>
                  <a:ext uri="{FF2B5EF4-FFF2-40B4-BE49-F238E27FC236}">
                    <a16:creationId xmlns:a16="http://schemas.microsoft.com/office/drawing/2014/main" id="{3A85AB95-7DAF-8438-726D-1FBE7909F43B}"/>
                  </a:ext>
                </a:extLst>
              </xdr:cNvPr>
              <xdr:cNvSpPr/>
            </xdr:nvSpPr>
            <xdr:spPr>
              <a:xfrm>
                <a:off x="2874793" y="3663810"/>
                <a:ext cx="2834723" cy="864552"/>
              </a:xfrm>
              <a:prstGeom prst="rect">
                <a:avLst/>
              </a:prstGeom>
              <a:solidFill>
                <a:schemeClr val="accent2">
                  <a:lumMod val="40000"/>
                  <a:lumOff val="60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no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F61C87CB-BD86-6781-6D95-DBE802137744}"/>
                </a:ext>
              </a:extLst>
            </xdr:cNvPr>
            <xdr:cNvSpPr/>
          </xdr:nvSpPr>
          <xdr:spPr>
            <a:xfrm>
              <a:off x="2233118" y="11385765"/>
              <a:ext cx="952500" cy="948145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54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H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FD2FF222-429B-71DB-224C-A9B0C441E16F}"/>
              </a:ext>
            </a:extLst>
          </xdr:cNvPr>
          <xdr:cNvGrpSpPr/>
        </xdr:nvGrpSpPr>
        <xdr:grpSpPr>
          <a:xfrm>
            <a:off x="9274505" y="6400145"/>
            <a:ext cx="1628861" cy="900057"/>
            <a:chOff x="70311" y="7495369"/>
            <a:chExt cx="2616364" cy="2538697"/>
          </a:xfrm>
        </xdr:grpSpPr>
        <xdr:grpSp>
          <xdr:nvGrpSpPr>
            <xdr:cNvPr id="48" name="Group 47">
              <a:extLst>
                <a:ext uri="{FF2B5EF4-FFF2-40B4-BE49-F238E27FC236}">
                  <a16:creationId xmlns:a16="http://schemas.microsoft.com/office/drawing/2014/main" id="{84BFF076-C2B8-917E-4A09-154EB9A13D2B}"/>
                </a:ext>
              </a:extLst>
            </xdr:cNvPr>
            <xdr:cNvGrpSpPr/>
          </xdr:nvGrpSpPr>
          <xdr:grpSpPr>
            <a:xfrm>
              <a:off x="70311" y="7495369"/>
              <a:ext cx="2616364" cy="2538697"/>
              <a:chOff x="62901" y="606055"/>
              <a:chExt cx="1648538" cy="820118"/>
            </a:xfrm>
          </xdr:grpSpPr>
          <xdr:pic>
            <xdr:nvPicPr>
              <xdr:cNvPr id="50" name="Picture 49">
                <a:extLst>
                  <a:ext uri="{FF2B5EF4-FFF2-40B4-BE49-F238E27FC236}">
                    <a16:creationId xmlns:a16="http://schemas.microsoft.com/office/drawing/2014/main" id="{128C8189-8109-5103-2C06-8ED9C4D276CC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/>
              <a:stretch>
                <a:fillRect/>
              </a:stretch>
            </xdr:blipFill>
            <xdr:spPr>
              <a:xfrm>
                <a:off x="62901" y="606055"/>
                <a:ext cx="1648538" cy="820118"/>
              </a:xfrm>
              <a:prstGeom prst="rect">
                <a:avLst/>
              </a:prstGeom>
            </xdr:spPr>
          </xdr:pic>
          <xdr:sp macro="" textlink="">
            <xdr:nvSpPr>
              <xdr:cNvPr id="51" name="Rectangle 50">
                <a:extLst>
                  <a:ext uri="{FF2B5EF4-FFF2-40B4-BE49-F238E27FC236}">
                    <a16:creationId xmlns:a16="http://schemas.microsoft.com/office/drawing/2014/main" id="{F0354E47-B970-FF13-EAFC-675ABCC4A711}"/>
                  </a:ext>
                </a:extLst>
              </xdr:cNvPr>
              <xdr:cNvSpPr/>
            </xdr:nvSpPr>
            <xdr:spPr>
              <a:xfrm>
                <a:off x="84351" y="609325"/>
                <a:ext cx="1623385" cy="790019"/>
              </a:xfrm>
              <a:prstGeom prst="rect">
                <a:avLst/>
              </a:prstGeom>
              <a:solidFill>
                <a:schemeClr val="accent6">
                  <a:lumMod val="40000"/>
                  <a:lumOff val="60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81736009-D631-DC2F-2AB3-5576C63F148E}"/>
                </a:ext>
              </a:extLst>
            </xdr:cNvPr>
            <xdr:cNvSpPr/>
          </xdr:nvSpPr>
          <xdr:spPr>
            <a:xfrm>
              <a:off x="887503" y="7970185"/>
              <a:ext cx="1019265" cy="1154524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66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L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44407837-43B1-AA58-633F-1BA611BD92E5}"/>
              </a:ext>
            </a:extLst>
          </xdr:cNvPr>
          <xdr:cNvGrpSpPr/>
        </xdr:nvGrpSpPr>
        <xdr:grpSpPr>
          <a:xfrm>
            <a:off x="10886170" y="6935069"/>
            <a:ext cx="2073396" cy="1309566"/>
            <a:chOff x="2243101" y="11794474"/>
            <a:chExt cx="2614773" cy="3280700"/>
          </a:xfrm>
        </xdr:grpSpPr>
        <xdr:grpSp>
          <xdr:nvGrpSpPr>
            <xdr:cNvPr id="44" name="Group 43">
              <a:extLst>
                <a:ext uri="{FF2B5EF4-FFF2-40B4-BE49-F238E27FC236}">
                  <a16:creationId xmlns:a16="http://schemas.microsoft.com/office/drawing/2014/main" id="{EDC5DA27-CD69-0944-A6AF-6F65B75A77D0}"/>
                </a:ext>
              </a:extLst>
            </xdr:cNvPr>
            <xdr:cNvGrpSpPr/>
          </xdr:nvGrpSpPr>
          <xdr:grpSpPr>
            <a:xfrm>
              <a:off x="2243101" y="11794474"/>
              <a:ext cx="2614773" cy="3280700"/>
              <a:chOff x="76496" y="1999015"/>
              <a:chExt cx="1674177" cy="824205"/>
            </a:xfrm>
          </xdr:grpSpPr>
          <xdr:pic>
            <xdr:nvPicPr>
              <xdr:cNvPr id="46" name="Picture 45">
                <a:extLst>
                  <a:ext uri="{FF2B5EF4-FFF2-40B4-BE49-F238E27FC236}">
                    <a16:creationId xmlns:a16="http://schemas.microsoft.com/office/drawing/2014/main" id="{46A07B21-51AB-60B0-FC36-1105C548FD38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/>
              <a:stretch>
                <a:fillRect/>
              </a:stretch>
            </xdr:blipFill>
            <xdr:spPr>
              <a:xfrm>
                <a:off x="76496" y="2003102"/>
                <a:ext cx="1648539" cy="820118"/>
              </a:xfrm>
              <a:prstGeom prst="rect">
                <a:avLst/>
              </a:prstGeom>
            </xdr:spPr>
          </xdr:pic>
          <xdr:sp macro="" textlink="">
            <xdr:nvSpPr>
              <xdr:cNvPr id="47" name="Rectangle 46">
                <a:extLst>
                  <a:ext uri="{FF2B5EF4-FFF2-40B4-BE49-F238E27FC236}">
                    <a16:creationId xmlns:a16="http://schemas.microsoft.com/office/drawing/2014/main" id="{2209BA67-5DFA-3611-0A6D-051EAD37CA1A}"/>
                  </a:ext>
                </a:extLst>
              </xdr:cNvPr>
              <xdr:cNvSpPr/>
            </xdr:nvSpPr>
            <xdr:spPr>
              <a:xfrm>
                <a:off x="89523" y="1999015"/>
                <a:ext cx="1661150" cy="804487"/>
              </a:xfrm>
              <a:prstGeom prst="rect">
                <a:avLst/>
              </a:prstGeom>
              <a:solidFill>
                <a:schemeClr val="accent4">
                  <a:lumMod val="60000"/>
                  <a:lumOff val="40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45" name="Rectangle 44">
              <a:extLst>
                <a:ext uri="{FF2B5EF4-FFF2-40B4-BE49-F238E27FC236}">
                  <a16:creationId xmlns:a16="http://schemas.microsoft.com/office/drawing/2014/main" id="{25E3627A-5E64-8E12-2413-37AB36DAC823}"/>
                </a:ext>
              </a:extLst>
            </xdr:cNvPr>
            <xdr:cNvSpPr/>
          </xdr:nvSpPr>
          <xdr:spPr>
            <a:xfrm>
              <a:off x="3024895" y="12946398"/>
              <a:ext cx="771071" cy="854146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48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M</a:t>
              </a: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751838BB-2883-4198-57D3-887EF7DEF9E5}"/>
              </a:ext>
            </a:extLst>
          </xdr:cNvPr>
          <xdr:cNvGrpSpPr/>
        </xdr:nvGrpSpPr>
        <xdr:grpSpPr>
          <a:xfrm>
            <a:off x="8793617" y="3938080"/>
            <a:ext cx="615423" cy="587593"/>
            <a:chOff x="2499490" y="1134878"/>
            <a:chExt cx="1126944" cy="1168228"/>
          </a:xfrm>
        </xdr:grpSpPr>
        <xdr:grpSp>
          <xdr:nvGrpSpPr>
            <xdr:cNvPr id="40" name="Group 39">
              <a:extLst>
                <a:ext uri="{FF2B5EF4-FFF2-40B4-BE49-F238E27FC236}">
                  <a16:creationId xmlns:a16="http://schemas.microsoft.com/office/drawing/2014/main" id="{4F6FA26B-86EA-F66C-332A-3946BF86C3D0}"/>
                </a:ext>
              </a:extLst>
            </xdr:cNvPr>
            <xdr:cNvGrpSpPr/>
          </xdr:nvGrpSpPr>
          <xdr:grpSpPr>
            <a:xfrm>
              <a:off x="2499490" y="1134878"/>
              <a:ext cx="1126944" cy="1168228"/>
              <a:chOff x="5406916" y="1910276"/>
              <a:chExt cx="771890" cy="615067"/>
            </a:xfrm>
          </xdr:grpSpPr>
          <xdr:pic>
            <xdr:nvPicPr>
              <xdr:cNvPr id="42" name="Picture 41">
                <a:extLst>
                  <a:ext uri="{FF2B5EF4-FFF2-40B4-BE49-F238E27FC236}">
                    <a16:creationId xmlns:a16="http://schemas.microsoft.com/office/drawing/2014/main" id="{EA979221-552A-357D-2981-BBF941856920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/>
              <a:stretch>
                <a:fillRect/>
              </a:stretch>
            </xdr:blipFill>
            <xdr:spPr>
              <a:xfrm>
                <a:off x="5406916" y="1915051"/>
                <a:ext cx="771890" cy="610292"/>
              </a:xfrm>
              <a:prstGeom prst="rect">
                <a:avLst/>
              </a:prstGeom>
            </xdr:spPr>
          </xdr:pic>
          <xdr:sp macro="" textlink="">
            <xdr:nvSpPr>
              <xdr:cNvPr id="43" name="Rectangle 42">
                <a:extLst>
                  <a:ext uri="{FF2B5EF4-FFF2-40B4-BE49-F238E27FC236}">
                    <a16:creationId xmlns:a16="http://schemas.microsoft.com/office/drawing/2014/main" id="{B3F70FD1-CC4D-3FC1-CA2F-BB7D98A971F7}"/>
                  </a:ext>
                </a:extLst>
              </xdr:cNvPr>
              <xdr:cNvSpPr/>
            </xdr:nvSpPr>
            <xdr:spPr>
              <a:xfrm>
                <a:off x="5431341" y="1910276"/>
                <a:ext cx="724450" cy="615067"/>
              </a:xfrm>
              <a:prstGeom prst="rect">
                <a:avLst/>
              </a:prstGeom>
              <a:solidFill>
                <a:schemeClr val="bg2">
                  <a:lumMod val="75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no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41" name="Rectangle 40">
              <a:extLst>
                <a:ext uri="{FF2B5EF4-FFF2-40B4-BE49-F238E27FC236}">
                  <a16:creationId xmlns:a16="http://schemas.microsoft.com/office/drawing/2014/main" id="{CFF6998F-3DB3-C1A2-862F-2E9743B5A663}"/>
                </a:ext>
              </a:extLst>
            </xdr:cNvPr>
            <xdr:cNvSpPr/>
          </xdr:nvSpPr>
          <xdr:spPr>
            <a:xfrm>
              <a:off x="2621686" y="1233750"/>
              <a:ext cx="889000" cy="791562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44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D</a:t>
              </a:r>
            </a:p>
          </xdr:txBody>
        </xdr:sp>
      </xdr:grpSp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E9DF60D7-EA8E-4C99-D070-C495CF9D73DD}"/>
              </a:ext>
            </a:extLst>
          </xdr:cNvPr>
          <xdr:cNvGrpSpPr/>
        </xdr:nvGrpSpPr>
        <xdr:grpSpPr>
          <a:xfrm rot="16200000">
            <a:off x="10475342" y="5858860"/>
            <a:ext cx="1484918" cy="662197"/>
            <a:chOff x="14187076" y="10246898"/>
            <a:chExt cx="1851700" cy="2409967"/>
          </a:xfrm>
        </xdr:grpSpPr>
        <xdr:grpSp>
          <xdr:nvGrpSpPr>
            <xdr:cNvPr id="36" name="Group 35">
              <a:extLst>
                <a:ext uri="{FF2B5EF4-FFF2-40B4-BE49-F238E27FC236}">
                  <a16:creationId xmlns:a16="http://schemas.microsoft.com/office/drawing/2014/main" id="{0F8BB636-447E-FCE0-3DF5-5A10B90C6D4B}"/>
                </a:ext>
              </a:extLst>
            </xdr:cNvPr>
            <xdr:cNvGrpSpPr/>
          </xdr:nvGrpSpPr>
          <xdr:grpSpPr>
            <a:xfrm>
              <a:off x="14187076" y="10246898"/>
              <a:ext cx="1851700" cy="2409967"/>
              <a:chOff x="6119351" y="4188469"/>
              <a:chExt cx="1759456" cy="1293974"/>
            </a:xfrm>
          </xdr:grpSpPr>
          <xdr:pic>
            <xdr:nvPicPr>
              <xdr:cNvPr id="38" name="Picture 37">
                <a:extLst>
                  <a:ext uri="{FF2B5EF4-FFF2-40B4-BE49-F238E27FC236}">
                    <a16:creationId xmlns:a16="http://schemas.microsoft.com/office/drawing/2014/main" id="{D5082022-7949-FCED-6415-8185033B2FA3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/>
              <a:stretch>
                <a:fillRect/>
              </a:stretch>
            </xdr:blipFill>
            <xdr:spPr>
              <a:xfrm>
                <a:off x="6119351" y="4188469"/>
                <a:ext cx="1759456" cy="1265809"/>
              </a:xfrm>
              <a:prstGeom prst="rect">
                <a:avLst/>
              </a:prstGeom>
            </xdr:spPr>
          </xdr:pic>
          <xdr:sp macro="" textlink="">
            <xdr:nvSpPr>
              <xdr:cNvPr id="39" name="Rectangle 38">
                <a:extLst>
                  <a:ext uri="{FF2B5EF4-FFF2-40B4-BE49-F238E27FC236}">
                    <a16:creationId xmlns:a16="http://schemas.microsoft.com/office/drawing/2014/main" id="{C71A5EF3-73AF-8CED-3FE3-2E6A34B30372}"/>
                  </a:ext>
                </a:extLst>
              </xdr:cNvPr>
              <xdr:cNvSpPr/>
            </xdr:nvSpPr>
            <xdr:spPr>
              <a:xfrm>
                <a:off x="6126600" y="4225569"/>
                <a:ext cx="1729460" cy="1256874"/>
              </a:xfrm>
              <a:prstGeom prst="rect">
                <a:avLst/>
              </a:prstGeom>
              <a:solidFill>
                <a:schemeClr val="accent2">
                  <a:lumMod val="75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37" name="Rectangle 36">
              <a:extLst>
                <a:ext uri="{FF2B5EF4-FFF2-40B4-BE49-F238E27FC236}">
                  <a16:creationId xmlns:a16="http://schemas.microsoft.com/office/drawing/2014/main" id="{3CCEC76C-2ABB-689E-EC50-0E7FDE493145}"/>
                </a:ext>
              </a:extLst>
            </xdr:cNvPr>
            <xdr:cNvSpPr/>
          </xdr:nvSpPr>
          <xdr:spPr>
            <a:xfrm>
              <a:off x="14799470" y="11080552"/>
              <a:ext cx="980077" cy="866482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48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F</a:t>
              </a:r>
            </a:p>
          </xdr:txBody>
        </xdr:sp>
      </xdr:grpSp>
      <xdr:grpSp>
        <xdr:nvGrpSpPr>
          <xdr:cNvPr id="10" name="Group 9">
            <a:extLst>
              <a:ext uri="{FF2B5EF4-FFF2-40B4-BE49-F238E27FC236}">
                <a16:creationId xmlns:a16="http://schemas.microsoft.com/office/drawing/2014/main" id="{3155FF05-9071-4F0F-87BA-40200C64B8B2}"/>
              </a:ext>
            </a:extLst>
          </xdr:cNvPr>
          <xdr:cNvGrpSpPr/>
        </xdr:nvGrpSpPr>
        <xdr:grpSpPr>
          <a:xfrm>
            <a:off x="7526751" y="3922981"/>
            <a:ext cx="780027" cy="621891"/>
            <a:chOff x="7403598" y="19633474"/>
            <a:chExt cx="1045755" cy="1580028"/>
          </a:xfrm>
        </xdr:grpSpPr>
        <xdr:grpSp>
          <xdr:nvGrpSpPr>
            <xdr:cNvPr id="32" name="Group 31">
              <a:extLst>
                <a:ext uri="{FF2B5EF4-FFF2-40B4-BE49-F238E27FC236}">
                  <a16:creationId xmlns:a16="http://schemas.microsoft.com/office/drawing/2014/main" id="{627C7EA7-A4BE-6813-9380-30751280A48C}"/>
                </a:ext>
              </a:extLst>
            </xdr:cNvPr>
            <xdr:cNvGrpSpPr/>
          </xdr:nvGrpSpPr>
          <xdr:grpSpPr>
            <a:xfrm>
              <a:off x="7403598" y="19633474"/>
              <a:ext cx="1045755" cy="1580028"/>
              <a:chOff x="6206068" y="1900075"/>
              <a:chExt cx="952443" cy="968395"/>
            </a:xfrm>
          </xdr:grpSpPr>
          <xdr:pic>
            <xdr:nvPicPr>
              <xdr:cNvPr id="34" name="Picture 33">
                <a:extLst>
                  <a:ext uri="{FF2B5EF4-FFF2-40B4-BE49-F238E27FC236}">
                    <a16:creationId xmlns:a16="http://schemas.microsoft.com/office/drawing/2014/main" id="{F329F475-B47B-832F-8AD4-3ECA96601646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/>
              <a:stretch>
                <a:fillRect/>
              </a:stretch>
            </xdr:blipFill>
            <xdr:spPr>
              <a:xfrm>
                <a:off x="6206068" y="1905000"/>
                <a:ext cx="940556" cy="963470"/>
              </a:xfrm>
              <a:prstGeom prst="rect">
                <a:avLst/>
              </a:prstGeom>
            </xdr:spPr>
          </xdr:pic>
          <xdr:sp macro="" textlink="">
            <xdr:nvSpPr>
              <xdr:cNvPr id="35" name="Rectangle 34">
                <a:extLst>
                  <a:ext uri="{FF2B5EF4-FFF2-40B4-BE49-F238E27FC236}">
                    <a16:creationId xmlns:a16="http://schemas.microsoft.com/office/drawing/2014/main" id="{61A7A7D0-A414-0668-F57F-85DF998642F0}"/>
                  </a:ext>
                </a:extLst>
              </xdr:cNvPr>
              <xdr:cNvSpPr/>
            </xdr:nvSpPr>
            <xdr:spPr>
              <a:xfrm>
                <a:off x="6206868" y="1900075"/>
                <a:ext cx="951643" cy="968395"/>
              </a:xfrm>
              <a:prstGeom prst="rect">
                <a:avLst/>
              </a:prstGeom>
              <a:solidFill>
                <a:schemeClr val="accent4">
                  <a:lumMod val="50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no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33" name="Rectangle 32">
              <a:extLst>
                <a:ext uri="{FF2B5EF4-FFF2-40B4-BE49-F238E27FC236}">
                  <a16:creationId xmlns:a16="http://schemas.microsoft.com/office/drawing/2014/main" id="{1D5538CC-72EC-8B8F-66D6-6D5B63BA6AA1}"/>
                </a:ext>
              </a:extLst>
            </xdr:cNvPr>
            <xdr:cNvSpPr/>
          </xdr:nvSpPr>
          <xdr:spPr>
            <a:xfrm>
              <a:off x="7604899" y="20046946"/>
              <a:ext cx="710837" cy="803901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44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B</a:t>
              </a:r>
            </a:p>
          </xdr:txBody>
        </xdr:sp>
      </xdr:grpSp>
      <xdr:grpSp>
        <xdr:nvGrpSpPr>
          <xdr:cNvPr id="11" name="Group 10">
            <a:extLst>
              <a:ext uri="{FF2B5EF4-FFF2-40B4-BE49-F238E27FC236}">
                <a16:creationId xmlns:a16="http://schemas.microsoft.com/office/drawing/2014/main" id="{81ADE9CC-F21E-2A2F-4E1F-4A5A15460FEE}"/>
              </a:ext>
            </a:extLst>
          </xdr:cNvPr>
          <xdr:cNvGrpSpPr/>
        </xdr:nvGrpSpPr>
        <xdr:grpSpPr>
          <a:xfrm>
            <a:off x="8316515" y="3960758"/>
            <a:ext cx="496571" cy="286446"/>
            <a:chOff x="89252" y="1202441"/>
            <a:chExt cx="706241" cy="824886"/>
          </a:xfrm>
        </xdr:grpSpPr>
        <xdr:grpSp>
          <xdr:nvGrpSpPr>
            <xdr:cNvPr id="28" name="Group 27">
              <a:extLst>
                <a:ext uri="{FF2B5EF4-FFF2-40B4-BE49-F238E27FC236}">
                  <a16:creationId xmlns:a16="http://schemas.microsoft.com/office/drawing/2014/main" id="{9344A7FD-5638-EBBD-1985-A8A521CD8E52}"/>
                </a:ext>
              </a:extLst>
            </xdr:cNvPr>
            <xdr:cNvGrpSpPr/>
          </xdr:nvGrpSpPr>
          <xdr:grpSpPr>
            <a:xfrm>
              <a:off x="89252" y="1202441"/>
              <a:ext cx="706241" cy="824886"/>
              <a:chOff x="2791981" y="2027526"/>
              <a:chExt cx="818692" cy="859000"/>
            </a:xfrm>
            <a:solidFill>
              <a:schemeClr val="accent2">
                <a:lumMod val="75000"/>
              </a:schemeClr>
            </a:solidFill>
          </xdr:grpSpPr>
          <xdr:pic>
            <xdr:nvPicPr>
              <xdr:cNvPr id="30" name="Picture 29">
                <a:extLst>
                  <a:ext uri="{FF2B5EF4-FFF2-40B4-BE49-F238E27FC236}">
                    <a16:creationId xmlns:a16="http://schemas.microsoft.com/office/drawing/2014/main" id="{F93CEC74-8B7F-4A8B-5324-46F5E5C10F6F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/>
              <a:stretch>
                <a:fillRect/>
              </a:stretch>
            </xdr:blipFill>
            <xdr:spPr>
              <a:xfrm>
                <a:off x="2791981" y="2037117"/>
                <a:ext cx="818692" cy="820612"/>
              </a:xfrm>
              <a:prstGeom prst="rect">
                <a:avLst/>
              </a:prstGeom>
              <a:grpFill/>
            </xdr:spPr>
          </xdr:pic>
          <xdr:sp macro="" textlink="">
            <xdr:nvSpPr>
              <xdr:cNvPr id="31" name="Rectangle 30">
                <a:extLst>
                  <a:ext uri="{FF2B5EF4-FFF2-40B4-BE49-F238E27FC236}">
                    <a16:creationId xmlns:a16="http://schemas.microsoft.com/office/drawing/2014/main" id="{E598EC7E-C149-74F3-D487-D1777EAB00CE}"/>
                  </a:ext>
                </a:extLst>
              </xdr:cNvPr>
              <xdr:cNvSpPr/>
            </xdr:nvSpPr>
            <xdr:spPr>
              <a:xfrm>
                <a:off x="2791981" y="2027526"/>
                <a:ext cx="786586" cy="859000"/>
              </a:xfrm>
              <a:prstGeom prst="rect">
                <a:avLst/>
              </a:prstGeom>
              <a:grpFill/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no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29" name="Rectangle 28">
              <a:extLst>
                <a:ext uri="{FF2B5EF4-FFF2-40B4-BE49-F238E27FC236}">
                  <a16:creationId xmlns:a16="http://schemas.microsoft.com/office/drawing/2014/main" id="{3516F782-5C02-D05C-98E2-36F47298F868}"/>
                </a:ext>
              </a:extLst>
            </xdr:cNvPr>
            <xdr:cNvSpPr/>
          </xdr:nvSpPr>
          <xdr:spPr>
            <a:xfrm>
              <a:off x="205184" y="1280729"/>
              <a:ext cx="491675" cy="553037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no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36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C</a:t>
              </a:r>
            </a:p>
          </xdr:txBody>
        </xdr:sp>
      </xdr:grpSp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924E25A7-55B7-5D42-CA38-A2E6D943535C}"/>
              </a:ext>
            </a:extLst>
          </xdr:cNvPr>
          <xdr:cNvGrpSpPr/>
        </xdr:nvGrpSpPr>
        <xdr:grpSpPr>
          <a:xfrm>
            <a:off x="11089694" y="4778469"/>
            <a:ext cx="1269279" cy="678630"/>
            <a:chOff x="7921373" y="6800473"/>
            <a:chExt cx="2107274" cy="1726954"/>
          </a:xfrm>
        </xdr:grpSpPr>
        <xdr:grpSp>
          <xdr:nvGrpSpPr>
            <xdr:cNvPr id="24" name="Group 23">
              <a:extLst>
                <a:ext uri="{FF2B5EF4-FFF2-40B4-BE49-F238E27FC236}">
                  <a16:creationId xmlns:a16="http://schemas.microsoft.com/office/drawing/2014/main" id="{4CBBC681-FBA8-49E0-02F8-4C42849B7F54}"/>
                </a:ext>
              </a:extLst>
            </xdr:cNvPr>
            <xdr:cNvGrpSpPr/>
          </xdr:nvGrpSpPr>
          <xdr:grpSpPr>
            <a:xfrm>
              <a:off x="7921373" y="6800473"/>
              <a:ext cx="2107274" cy="1726954"/>
              <a:chOff x="1126352" y="2635676"/>
              <a:chExt cx="1936959" cy="1040450"/>
            </a:xfrm>
          </xdr:grpSpPr>
          <xdr:pic>
            <xdr:nvPicPr>
              <xdr:cNvPr id="26" name="Picture 25">
                <a:extLst>
                  <a:ext uri="{FF2B5EF4-FFF2-40B4-BE49-F238E27FC236}">
                    <a16:creationId xmlns:a16="http://schemas.microsoft.com/office/drawing/2014/main" id="{936BB672-2AF9-AC30-80E8-2EFCBA645CAC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/>
              <a:stretch>
                <a:fillRect/>
              </a:stretch>
            </xdr:blipFill>
            <xdr:spPr>
              <a:xfrm>
                <a:off x="1128055" y="2637890"/>
                <a:ext cx="1935256" cy="1038236"/>
              </a:xfrm>
              <a:prstGeom prst="rect">
                <a:avLst/>
              </a:prstGeom>
            </xdr:spPr>
          </xdr:pic>
          <xdr:sp macro="" textlink="">
            <xdr:nvSpPr>
              <xdr:cNvPr id="27" name="Rectangle 26">
                <a:extLst>
                  <a:ext uri="{FF2B5EF4-FFF2-40B4-BE49-F238E27FC236}">
                    <a16:creationId xmlns:a16="http://schemas.microsoft.com/office/drawing/2014/main" id="{817A5947-3922-5DBD-5B3E-4EB922824814}"/>
                  </a:ext>
                </a:extLst>
              </xdr:cNvPr>
              <xdr:cNvSpPr/>
            </xdr:nvSpPr>
            <xdr:spPr>
              <a:xfrm>
                <a:off x="1126352" y="2635676"/>
                <a:ext cx="1904606" cy="1025729"/>
              </a:xfrm>
              <a:prstGeom prst="rect">
                <a:avLst/>
              </a:prstGeom>
              <a:solidFill>
                <a:schemeClr val="accent6">
                  <a:lumMod val="20000"/>
                  <a:lumOff val="80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25" name="Rectangle 24">
              <a:extLst>
                <a:ext uri="{FF2B5EF4-FFF2-40B4-BE49-F238E27FC236}">
                  <a16:creationId xmlns:a16="http://schemas.microsoft.com/office/drawing/2014/main" id="{44EFE8DB-FD4A-6868-3FE6-F2910DD44138}"/>
                </a:ext>
              </a:extLst>
            </xdr:cNvPr>
            <xdr:cNvSpPr/>
          </xdr:nvSpPr>
          <xdr:spPr>
            <a:xfrm>
              <a:off x="8407402" y="6866895"/>
              <a:ext cx="1144094" cy="1624776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3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E</a:t>
              </a:r>
            </a:p>
          </xdr:txBody>
        </xdr:sp>
      </xdr:grpSp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F648B1D2-27F6-732E-FC2B-2B7DAEB2F069}"/>
              </a:ext>
            </a:extLst>
          </xdr:cNvPr>
          <xdr:cNvGrpSpPr/>
        </xdr:nvGrpSpPr>
        <xdr:grpSpPr>
          <a:xfrm>
            <a:off x="9504394" y="4999716"/>
            <a:ext cx="1046170" cy="457376"/>
            <a:chOff x="8099044" y="11522019"/>
            <a:chExt cx="1064533" cy="1336874"/>
          </a:xfrm>
        </xdr:grpSpPr>
        <xdr:grpSp>
          <xdr:nvGrpSpPr>
            <xdr:cNvPr id="20" name="Group 19">
              <a:extLst>
                <a:ext uri="{FF2B5EF4-FFF2-40B4-BE49-F238E27FC236}">
                  <a16:creationId xmlns:a16="http://schemas.microsoft.com/office/drawing/2014/main" id="{9ADBB232-CC1A-8215-ED27-08BB77A28853}"/>
                </a:ext>
              </a:extLst>
            </xdr:cNvPr>
            <xdr:cNvGrpSpPr/>
          </xdr:nvGrpSpPr>
          <xdr:grpSpPr>
            <a:xfrm>
              <a:off x="8099044" y="11522019"/>
              <a:ext cx="1064533" cy="1336874"/>
              <a:chOff x="3214689" y="1593054"/>
              <a:chExt cx="1578521" cy="1354715"/>
            </a:xfrm>
          </xdr:grpSpPr>
          <xdr:pic>
            <xdr:nvPicPr>
              <xdr:cNvPr id="22" name="Picture 21">
                <a:extLst>
                  <a:ext uri="{FF2B5EF4-FFF2-40B4-BE49-F238E27FC236}">
                    <a16:creationId xmlns:a16="http://schemas.microsoft.com/office/drawing/2014/main" id="{C9FC0EEC-98E5-2CE1-9E28-EF61705B4C83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/>
              <a:stretch>
                <a:fillRect/>
              </a:stretch>
            </xdr:blipFill>
            <xdr:spPr>
              <a:xfrm>
                <a:off x="3317530" y="1659309"/>
                <a:ext cx="1475678" cy="1265809"/>
              </a:xfrm>
              <a:prstGeom prst="rect">
                <a:avLst/>
              </a:prstGeom>
            </xdr:spPr>
          </xdr:pic>
          <xdr:sp macro="" textlink="">
            <xdr:nvSpPr>
              <xdr:cNvPr id="23" name="Rectangle 22">
                <a:extLst>
                  <a:ext uri="{FF2B5EF4-FFF2-40B4-BE49-F238E27FC236}">
                    <a16:creationId xmlns:a16="http://schemas.microsoft.com/office/drawing/2014/main" id="{45EA0B76-DFFE-A117-436B-C02489E4A19A}"/>
                  </a:ext>
                </a:extLst>
              </xdr:cNvPr>
              <xdr:cNvSpPr/>
            </xdr:nvSpPr>
            <xdr:spPr>
              <a:xfrm>
                <a:off x="3214689" y="1593054"/>
                <a:ext cx="1578521" cy="1354715"/>
              </a:xfrm>
              <a:prstGeom prst="rect">
                <a:avLst/>
              </a:prstGeom>
              <a:solidFill>
                <a:schemeClr val="accent3">
                  <a:lumMod val="75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no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21" name="Rectangle 20">
              <a:extLst>
                <a:ext uri="{FF2B5EF4-FFF2-40B4-BE49-F238E27FC236}">
                  <a16:creationId xmlns:a16="http://schemas.microsoft.com/office/drawing/2014/main" id="{0317A37A-C762-14FC-E0CA-2DA559B342E8}"/>
                </a:ext>
              </a:extLst>
            </xdr:cNvPr>
            <xdr:cNvSpPr/>
          </xdr:nvSpPr>
          <xdr:spPr>
            <a:xfrm>
              <a:off x="8310687" y="11770552"/>
              <a:ext cx="487680" cy="728918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40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G</a:t>
              </a:r>
            </a:p>
          </xdr:txBody>
        </xdr:sp>
      </xdr:grpSp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EE363B46-C380-BE53-54AD-71DA7B0C57DE}"/>
              </a:ext>
            </a:extLst>
          </xdr:cNvPr>
          <xdr:cNvGrpSpPr/>
        </xdr:nvGrpSpPr>
        <xdr:grpSpPr>
          <a:xfrm>
            <a:off x="9670094" y="7259024"/>
            <a:ext cx="1234598" cy="437511"/>
            <a:chOff x="1152501" y="15436486"/>
            <a:chExt cx="1087120" cy="1201349"/>
          </a:xfrm>
        </xdr:grpSpPr>
        <xdr:grpSp>
          <xdr:nvGrpSpPr>
            <xdr:cNvPr id="16" name="Group 15">
              <a:extLst>
                <a:ext uri="{FF2B5EF4-FFF2-40B4-BE49-F238E27FC236}">
                  <a16:creationId xmlns:a16="http://schemas.microsoft.com/office/drawing/2014/main" id="{72473710-01B0-2500-A87A-317E6C3C67A8}"/>
                </a:ext>
              </a:extLst>
            </xdr:cNvPr>
            <xdr:cNvGrpSpPr/>
          </xdr:nvGrpSpPr>
          <xdr:grpSpPr>
            <a:xfrm>
              <a:off x="1152501" y="15436486"/>
              <a:ext cx="1087120" cy="1201349"/>
              <a:chOff x="-1525" y="586491"/>
              <a:chExt cx="1672192" cy="820118"/>
            </a:xfrm>
          </xdr:grpSpPr>
          <xdr:pic>
            <xdr:nvPicPr>
              <xdr:cNvPr id="18" name="Picture 17">
                <a:extLst>
                  <a:ext uri="{FF2B5EF4-FFF2-40B4-BE49-F238E27FC236}">
                    <a16:creationId xmlns:a16="http://schemas.microsoft.com/office/drawing/2014/main" id="{8CD1BBB6-913D-4382-715E-F108A3D54116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/>
              <a:stretch>
                <a:fillRect/>
              </a:stretch>
            </xdr:blipFill>
            <xdr:spPr>
              <a:xfrm>
                <a:off x="6498" y="586491"/>
                <a:ext cx="1648538" cy="820118"/>
              </a:xfrm>
              <a:prstGeom prst="rect">
                <a:avLst/>
              </a:prstGeom>
            </xdr:spPr>
          </xdr:pic>
          <xdr:sp macro="" textlink="">
            <xdr:nvSpPr>
              <xdr:cNvPr id="19" name="Rectangle 18">
                <a:extLst>
                  <a:ext uri="{FF2B5EF4-FFF2-40B4-BE49-F238E27FC236}">
                    <a16:creationId xmlns:a16="http://schemas.microsoft.com/office/drawing/2014/main" id="{452E03EB-CD37-7562-EEE2-ED23F7E24A15}"/>
                  </a:ext>
                </a:extLst>
              </xdr:cNvPr>
              <xdr:cNvSpPr/>
            </xdr:nvSpPr>
            <xdr:spPr>
              <a:xfrm>
                <a:off x="-1525" y="606177"/>
                <a:ext cx="1672192" cy="797625"/>
              </a:xfrm>
              <a:prstGeom prst="rect">
                <a:avLst/>
              </a:prstGeom>
              <a:solidFill>
                <a:schemeClr val="accent6">
                  <a:lumMod val="50000"/>
                </a:schemeClr>
              </a:solidFill>
              <a:ln w="12700" cap="flat">
                <a:noFill/>
                <a:miter lim="400000"/>
              </a:ln>
              <a:effectLst/>
              <a:sp3d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none"/>
            </xdr:style>
            <xdr:txBody>
              <a:bodyPr rot="0" spcFirstLastPara="1" vertOverflow="overflow" horzOverflow="overflow" vert="horz" wrap="square" lIns="50800" tIns="50800" rIns="50800" bIns="50800" numCol="1" spcCol="38100" rtlCol="0" anchor="ctr">
                <a:spAutoFit/>
              </a:bodyPr>
              <a:lstStyle/>
              <a:p>
                <a:pPr marL="0" marR="0" indent="0" algn="ctr" defTabSz="584200" rtl="0" fontAlgn="auto" latinLnBrk="0" hangingPunct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</a:pPr>
                <a:endParaRPr kumimoji="0" lang="en-US" sz="1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endParaRPr>
              </a:p>
            </xdr:txBody>
          </xdr:sp>
        </xdr:grpSp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054CE156-0021-93ED-661C-AD0A456B2E1F}"/>
                </a:ext>
              </a:extLst>
            </xdr:cNvPr>
            <xdr:cNvSpPr/>
          </xdr:nvSpPr>
          <xdr:spPr>
            <a:xfrm>
              <a:off x="1497940" y="15778161"/>
              <a:ext cx="375920" cy="603692"/>
            </a:xfrm>
            <a:prstGeom prst="rect">
              <a:avLst/>
            </a:prstGeom>
            <a:solidFill>
              <a:srgbClr val="000000"/>
            </a:solidFill>
            <a:ln w="12700" cap="flat">
              <a:noFill/>
              <a:miter lim="400000"/>
            </a:ln>
            <a:effectLst/>
            <a:sp3d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none"/>
          </xdr:style>
          <xdr:txBody>
            <a:bodyPr rot="0" spcFirstLastPara="1" vertOverflow="overflow" horzOverflow="overflow" vert="horz" wrap="square" lIns="50800" tIns="50800" rIns="50800" bIns="50800" numCol="1" spcCol="38100" rtlCol="0" anchor="ctr">
              <a:spAutoFit/>
            </a:bodyPr>
            <a:lstStyle/>
            <a:p>
              <a:pPr marL="0" marR="0" indent="0" algn="ctr" defTabSz="5842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</a:pPr>
              <a:r>
                <a:rPr kumimoji="0" lang="en-US" sz="3200" b="0" i="0" u="none" strike="noStrike" cap="none" spc="0" normalizeH="0" baseline="0">
                  <a:ln>
                    <a:noFill/>
                  </a:ln>
                  <a:solidFill>
                    <a:srgbClr val="FFFFFF"/>
                  </a:solidFill>
                  <a:effectLst/>
                  <a:uFillTx/>
                  <a:latin typeface="Helvetica Neue Medium"/>
                  <a:ea typeface="Helvetica Neue Medium"/>
                  <a:cs typeface="Helvetica Neue Medium"/>
                  <a:sym typeface="Helvetica Neue Medium"/>
                </a:rPr>
                <a:t>K</a:t>
              </a:r>
            </a:p>
          </xdr:txBody>
        </xdr:sp>
      </xdr:grp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D22D6DE2-36C1-A566-8BB0-6AACEF9D4F04}"/>
              </a:ext>
            </a:extLst>
          </xdr:cNvPr>
          <xdr:cNvSpPr/>
        </xdr:nvSpPr>
        <xdr:spPr>
          <a:xfrm>
            <a:off x="7547610" y="3927399"/>
            <a:ext cx="5491207" cy="4333568"/>
          </a:xfrm>
          <a:prstGeom prst="rect">
            <a:avLst/>
          </a:prstGeom>
          <a:noFill/>
          <a:ln w="57150" cap="flat">
            <a:solidFill>
              <a:schemeClr val="tx1"/>
            </a:solidFill>
            <a:miter lim="400000"/>
          </a:ln>
          <a:effectLst/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none"/>
        </xdr:style>
        <xdr:txBody>
          <a:bodyPr rot="0" spcFirstLastPara="1" vertOverflow="overflow" horzOverflow="overflow" vert="horz" wrap="square" lIns="50800" tIns="50800" rIns="50800" bIns="50800" numCol="1" spcCol="38100" rtlCol="0" anchor="ctr">
            <a:noAutofit/>
          </a:bodyPr>
          <a:lstStyle/>
          <a:p>
            <a:pPr marL="0" marR="0" indent="0" algn="ctr" defTabSz="5842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endParaRPr kumimoji="0" lang="en-US" sz="1200" b="0" i="0" u="none" strike="noStrike" cap="none" spc="0" normalizeH="0" baseline="0">
              <a:ln>
                <a:noFill/>
              </a:ln>
              <a:solidFill>
                <a:srgbClr val="FFFFFF"/>
              </a:solidFill>
              <a:effectLst/>
              <a:uFillTx/>
              <a:latin typeface="Helvetica Neue Medium"/>
              <a:ea typeface="Helvetica Neue Medium"/>
              <a:cs typeface="Helvetica Neue Medium"/>
              <a:sym typeface="Helvetica Neue Medium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8E242-E514-A04C-8230-450ECDD40173}">
  <dimension ref="C3:BR49"/>
  <sheetViews>
    <sheetView showGridLines="0" topLeftCell="N8" zoomScale="80" zoomScaleNormal="80" workbookViewId="0">
      <selection activeCell="AB11" sqref="AB11"/>
    </sheetView>
  </sheetViews>
  <sheetFormatPr baseColWidth="10" defaultColWidth="8.33203125" defaultRowHeight="40" customHeight="1" x14ac:dyDescent="0.2"/>
  <cols>
    <col min="1" max="27" width="8.33203125" style="39"/>
    <col min="28" max="28" width="21.1640625" style="39" bestFit="1" customWidth="1"/>
    <col min="29" max="60" width="8.33203125" style="39"/>
    <col min="61" max="61" width="9.1640625" style="39" bestFit="1" customWidth="1"/>
    <col min="62" max="16384" width="8.33203125" style="39"/>
  </cols>
  <sheetData>
    <row r="3" spans="3:70" ht="40" customHeight="1" x14ac:dyDescent="0.2">
      <c r="C3" s="38"/>
      <c r="D3" s="38"/>
      <c r="E3" s="38"/>
      <c r="F3" s="38"/>
      <c r="G3" s="38"/>
      <c r="H3" s="38"/>
      <c r="I3" s="38"/>
    </row>
    <row r="7" spans="3:70" ht="40" customHeight="1" x14ac:dyDescent="0.2">
      <c r="BB7" s="39">
        <v>38</v>
      </c>
      <c r="BC7" s="39">
        <v>39</v>
      </c>
      <c r="BD7" s="39">
        <v>40</v>
      </c>
      <c r="BE7" s="39">
        <v>41</v>
      </c>
      <c r="BF7" s="39">
        <v>42</v>
      </c>
      <c r="BG7" s="39">
        <v>43</v>
      </c>
    </row>
    <row r="10" spans="3:70" ht="40" customHeight="1" thickBot="1" x14ac:dyDescent="0.25"/>
    <row r="11" spans="3:70" ht="40" customHeight="1" thickBot="1" x14ac:dyDescent="0.6">
      <c r="Z11" s="109" t="s">
        <v>69</v>
      </c>
      <c r="AA11" s="110"/>
      <c r="AB11" s="110">
        <f>14*14*37*37</f>
        <v>268324</v>
      </c>
      <c r="AC11" s="111" t="s">
        <v>70</v>
      </c>
      <c r="AD11" s="112"/>
    </row>
    <row r="12" spans="3:70" ht="40" customHeight="1" x14ac:dyDescent="0.2">
      <c r="P12" s="39">
        <v>1</v>
      </c>
      <c r="Q12" s="39">
        <v>2</v>
      </c>
      <c r="R12" s="39">
        <v>3</v>
      </c>
      <c r="S12" s="39">
        <v>4</v>
      </c>
      <c r="T12" s="39">
        <v>5</v>
      </c>
      <c r="U12" s="39">
        <v>6</v>
      </c>
      <c r="V12" s="39">
        <v>7</v>
      </c>
      <c r="W12" s="39">
        <v>8</v>
      </c>
      <c r="X12" s="39">
        <v>9</v>
      </c>
      <c r="Y12" s="39">
        <v>10</v>
      </c>
      <c r="Z12" s="39">
        <v>11</v>
      </c>
      <c r="AA12" s="39">
        <v>12</v>
      </c>
      <c r="AB12" s="39">
        <v>13</v>
      </c>
      <c r="AC12" s="39">
        <v>14</v>
      </c>
      <c r="AD12" s="39">
        <v>15</v>
      </c>
      <c r="AE12" s="39">
        <v>16</v>
      </c>
      <c r="AF12" s="39">
        <v>17</v>
      </c>
      <c r="AG12" s="39">
        <v>18</v>
      </c>
      <c r="AH12" s="39">
        <v>19</v>
      </c>
      <c r="AI12" s="39">
        <v>20</v>
      </c>
      <c r="AJ12" s="39">
        <v>21</v>
      </c>
      <c r="AK12" s="39">
        <v>22</v>
      </c>
      <c r="AL12" s="39">
        <v>23</v>
      </c>
      <c r="AM12" s="39">
        <v>24</v>
      </c>
      <c r="AN12" s="39">
        <v>25</v>
      </c>
      <c r="AO12" s="39">
        <v>26</v>
      </c>
      <c r="AP12" s="39">
        <v>27</v>
      </c>
      <c r="AQ12" s="39">
        <v>28</v>
      </c>
      <c r="AR12" s="39">
        <v>29</v>
      </c>
      <c r="AS12" s="39">
        <v>30</v>
      </c>
      <c r="AT12" s="39">
        <v>31</v>
      </c>
      <c r="AU12" s="39">
        <v>32</v>
      </c>
      <c r="AV12" s="39">
        <v>33</v>
      </c>
      <c r="AW12" s="39">
        <v>34</v>
      </c>
      <c r="AX12" s="39">
        <v>35</v>
      </c>
      <c r="AY12" s="39">
        <v>36</v>
      </c>
      <c r="AZ12" s="39">
        <v>37</v>
      </c>
    </row>
    <row r="13" spans="3:70" ht="40" customHeight="1" x14ac:dyDescent="0.2">
      <c r="C13" s="43"/>
      <c r="D13" s="44"/>
      <c r="E13" s="44"/>
      <c r="F13" s="44"/>
      <c r="G13" s="44"/>
      <c r="H13" s="44"/>
      <c r="I13" s="44"/>
      <c r="J13" s="44"/>
      <c r="K13" s="44"/>
      <c r="L13" s="44"/>
      <c r="M13" s="44"/>
      <c r="O13" s="44">
        <v>1</v>
      </c>
    </row>
    <row r="14" spans="3:70" ht="40" customHeight="1" thickBot="1" x14ac:dyDescent="0.25">
      <c r="C14" s="43"/>
      <c r="D14" s="45"/>
      <c r="E14" s="45"/>
      <c r="F14" s="45"/>
      <c r="G14" s="45"/>
      <c r="H14" s="45"/>
      <c r="I14" s="45"/>
      <c r="J14" s="45"/>
      <c r="K14" s="45"/>
      <c r="L14" s="45"/>
      <c r="M14" s="45"/>
      <c r="O14" s="44">
        <v>2</v>
      </c>
      <c r="P14" s="45"/>
      <c r="Q14" s="45"/>
      <c r="BE14" s="24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</row>
    <row r="15" spans="3:70" ht="40" customHeight="1" x14ac:dyDescent="0.2">
      <c r="C15" s="43"/>
      <c r="D15" s="45"/>
      <c r="E15" s="45"/>
      <c r="F15" s="45"/>
      <c r="G15" s="45"/>
      <c r="H15" s="45"/>
      <c r="I15" s="45"/>
      <c r="J15" s="45"/>
      <c r="K15" s="45"/>
      <c r="L15" s="45"/>
      <c r="M15" s="45"/>
      <c r="O15" s="44">
        <v>3</v>
      </c>
      <c r="P15" s="45"/>
      <c r="Q15" s="45"/>
      <c r="AP15" s="1"/>
      <c r="AQ15" s="13"/>
      <c r="AR15" s="13"/>
      <c r="AS15" s="13"/>
      <c r="AT15" s="13"/>
      <c r="AU15" s="13"/>
      <c r="AV15" s="2"/>
      <c r="AW15" s="13"/>
      <c r="AX15" s="14"/>
      <c r="BE15" s="26"/>
      <c r="BF15" s="28" t="s">
        <v>27</v>
      </c>
      <c r="BG15" s="27"/>
      <c r="BH15" s="27"/>
      <c r="BI15" s="34">
        <v>83363429.169934854</v>
      </c>
      <c r="BJ15" s="27"/>
      <c r="BK15" s="27"/>
      <c r="BL15" s="27"/>
      <c r="BM15" s="27"/>
      <c r="BN15" s="27"/>
      <c r="BO15" s="27"/>
      <c r="BP15" s="27"/>
      <c r="BQ15" s="27"/>
      <c r="BR15" s="27"/>
    </row>
    <row r="16" spans="3:70" ht="40" customHeight="1" x14ac:dyDescent="0.2">
      <c r="C16" s="43"/>
      <c r="D16" s="45"/>
      <c r="E16" s="45"/>
      <c r="F16" s="45"/>
      <c r="G16" s="45"/>
      <c r="H16" s="45"/>
      <c r="I16" s="45"/>
      <c r="J16" s="45"/>
      <c r="K16" s="45"/>
      <c r="L16" s="45"/>
      <c r="M16" s="45"/>
      <c r="O16" s="44">
        <v>4</v>
      </c>
      <c r="P16" s="45"/>
      <c r="Q16" s="45"/>
      <c r="AP16" s="54" t="s">
        <v>1</v>
      </c>
      <c r="AQ16" s="38"/>
      <c r="AR16" s="38"/>
      <c r="AS16" s="38"/>
      <c r="AT16" s="38"/>
      <c r="AU16" s="38"/>
      <c r="AV16" s="38"/>
      <c r="AW16" s="38"/>
      <c r="AX16" s="15"/>
      <c r="BE16" s="31"/>
      <c r="BF16" s="33" t="s">
        <v>28</v>
      </c>
      <c r="BG16" s="32"/>
      <c r="BH16" s="32"/>
      <c r="BI16" s="59">
        <v>755002.76923076878</v>
      </c>
      <c r="BJ16" s="32"/>
      <c r="BK16" s="32"/>
      <c r="BL16" s="32"/>
      <c r="BM16" s="32"/>
      <c r="BN16" s="32"/>
      <c r="BO16" s="32"/>
      <c r="BP16" s="32"/>
      <c r="BQ16" s="32"/>
      <c r="BR16" s="32"/>
    </row>
    <row r="17" spans="3:70" ht="40" customHeight="1" x14ac:dyDescent="0.2">
      <c r="C17" s="43"/>
      <c r="D17" s="45"/>
      <c r="E17" s="45"/>
      <c r="F17" s="45"/>
      <c r="G17" s="45"/>
      <c r="H17" s="45"/>
      <c r="I17" s="45"/>
      <c r="J17" s="45"/>
      <c r="K17" s="45"/>
      <c r="L17" s="45"/>
      <c r="M17" s="45"/>
      <c r="O17" s="44">
        <v>5</v>
      </c>
      <c r="P17" s="45"/>
      <c r="Q17" s="45"/>
      <c r="AP17" s="54"/>
      <c r="AQ17" s="38"/>
      <c r="AR17" s="38"/>
      <c r="AS17" s="38"/>
      <c r="AT17" s="38"/>
      <c r="AU17" s="38"/>
      <c r="AV17" s="38"/>
      <c r="AW17" s="38"/>
      <c r="AX17" s="15"/>
      <c r="BE17" s="31"/>
      <c r="BF17" s="33" t="s">
        <v>29</v>
      </c>
      <c r="BG17" s="32"/>
      <c r="BH17" s="32"/>
      <c r="BI17" s="58">
        <f>BI15/BI16</f>
        <v>110.41473298815752</v>
      </c>
      <c r="BJ17" s="32"/>
      <c r="BK17" s="32"/>
      <c r="BL17" s="32"/>
      <c r="BM17" s="32"/>
      <c r="BN17" s="32"/>
      <c r="BO17" s="32"/>
      <c r="BP17" s="32"/>
      <c r="BQ17" s="32"/>
      <c r="BR17" s="32"/>
    </row>
    <row r="18" spans="3:70" ht="40" customHeight="1" thickBot="1" x14ac:dyDescent="0.25">
      <c r="C18" s="43"/>
      <c r="D18" s="45"/>
      <c r="E18" s="45"/>
      <c r="F18" s="45"/>
      <c r="G18" s="45"/>
      <c r="H18" s="45"/>
      <c r="I18" s="45"/>
      <c r="J18" s="45"/>
      <c r="K18" s="45"/>
      <c r="L18" s="45"/>
      <c r="M18" s="45"/>
      <c r="O18" s="44">
        <v>6</v>
      </c>
      <c r="P18" s="45"/>
      <c r="Q18" s="45"/>
      <c r="AP18" s="6"/>
      <c r="AQ18" s="12"/>
      <c r="AR18" s="12"/>
      <c r="AS18" s="12"/>
      <c r="AT18" s="12"/>
      <c r="AU18" s="12"/>
      <c r="AV18" s="12"/>
      <c r="AW18" s="12"/>
      <c r="AX18" s="16"/>
      <c r="BE18" s="31"/>
      <c r="BF18" s="33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</row>
    <row r="19" spans="3:70" ht="40" customHeight="1" x14ac:dyDescent="0.2">
      <c r="C19" s="43"/>
      <c r="D19" s="45"/>
      <c r="E19" s="45"/>
      <c r="F19" s="45"/>
      <c r="G19" s="45"/>
      <c r="H19" s="45"/>
      <c r="I19" s="45"/>
      <c r="J19" s="45"/>
      <c r="K19" s="45"/>
      <c r="L19" s="45"/>
      <c r="M19" s="45"/>
      <c r="O19" s="44">
        <v>7</v>
      </c>
      <c r="P19" s="47"/>
      <c r="Q19" s="48"/>
      <c r="R19" s="2"/>
      <c r="S19" s="2"/>
      <c r="T19" s="2"/>
      <c r="U19" s="3"/>
      <c r="BE19" s="31"/>
      <c r="BF19" s="33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</row>
    <row r="20" spans="3:70" ht="40" customHeight="1" x14ac:dyDescent="0.2">
      <c r="C20" s="43"/>
      <c r="D20" s="45"/>
      <c r="E20" s="45"/>
      <c r="F20" s="45"/>
      <c r="G20" s="45"/>
      <c r="H20" s="45"/>
      <c r="I20" s="45"/>
      <c r="J20" s="45"/>
      <c r="K20" s="45"/>
      <c r="L20" s="45"/>
      <c r="M20" s="45"/>
      <c r="O20" s="44">
        <v>8</v>
      </c>
      <c r="P20" s="49"/>
      <c r="Q20" s="45"/>
      <c r="U20" s="5"/>
      <c r="BE20" s="31"/>
      <c r="BF20" s="33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</row>
    <row r="21" spans="3:70" ht="40" customHeight="1" x14ac:dyDescent="0.2">
      <c r="C21" s="43"/>
      <c r="D21" s="45"/>
      <c r="E21" s="45"/>
      <c r="F21" s="45"/>
      <c r="G21" s="45"/>
      <c r="H21" s="45"/>
      <c r="I21" s="45"/>
      <c r="J21" s="45"/>
      <c r="K21" s="45"/>
      <c r="L21" s="45"/>
      <c r="M21" s="45"/>
      <c r="O21" s="44">
        <v>9</v>
      </c>
      <c r="P21" s="49"/>
      <c r="Q21" s="45"/>
      <c r="U21" s="17" t="s">
        <v>0</v>
      </c>
      <c r="BE21" s="31"/>
      <c r="BF21" s="33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</row>
    <row r="22" spans="3:70" ht="40" customHeight="1" x14ac:dyDescent="0.2">
      <c r="C22" s="43"/>
      <c r="D22" s="45"/>
      <c r="E22" s="45"/>
      <c r="F22" s="45"/>
      <c r="G22" s="45"/>
      <c r="H22" s="45"/>
      <c r="I22" s="45"/>
      <c r="J22" s="45"/>
      <c r="K22" s="45"/>
      <c r="L22" s="45"/>
      <c r="M22" s="45"/>
      <c r="O22" s="44">
        <v>10</v>
      </c>
      <c r="P22" s="49"/>
      <c r="Q22" s="45"/>
      <c r="U22" s="17"/>
      <c r="BE22" s="31"/>
      <c r="BF22" s="33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</row>
    <row r="23" spans="3:70" ht="40" customHeight="1" x14ac:dyDescent="0.2">
      <c r="C23" s="43"/>
      <c r="D23" s="45"/>
      <c r="E23" s="45"/>
      <c r="F23" s="45"/>
      <c r="G23" s="45"/>
      <c r="H23" s="45"/>
      <c r="I23" s="45"/>
      <c r="J23" s="45"/>
      <c r="K23" s="45"/>
      <c r="L23" s="45"/>
      <c r="M23" s="45"/>
      <c r="O23" s="44">
        <v>11</v>
      </c>
      <c r="P23" s="49"/>
      <c r="Q23" s="45"/>
      <c r="U23" s="5"/>
      <c r="BE23" s="31"/>
      <c r="BF23" s="33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</row>
    <row r="24" spans="3:70" ht="40" customHeight="1" x14ac:dyDescent="0.2">
      <c r="C24" s="43"/>
      <c r="D24" s="45"/>
      <c r="E24" s="45"/>
      <c r="F24" s="45"/>
      <c r="G24" s="45"/>
      <c r="H24" s="45"/>
      <c r="I24" s="45"/>
      <c r="J24" s="45"/>
      <c r="K24" s="45"/>
      <c r="L24" s="45"/>
      <c r="M24" s="45"/>
      <c r="O24" s="44">
        <v>12</v>
      </c>
      <c r="P24" s="49"/>
      <c r="Q24" s="45"/>
      <c r="U24" s="5"/>
      <c r="BE24" s="31"/>
      <c r="BF24" s="33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</row>
    <row r="25" spans="3:70" ht="40" customHeight="1" x14ac:dyDescent="0.2">
      <c r="C25" s="43"/>
      <c r="D25" s="45"/>
      <c r="E25" s="45"/>
      <c r="F25" s="45"/>
      <c r="G25" s="45"/>
      <c r="H25" s="45"/>
      <c r="I25" s="45"/>
      <c r="J25" s="45"/>
      <c r="K25" s="45"/>
      <c r="L25" s="45"/>
      <c r="M25" s="45"/>
      <c r="O25" s="44">
        <v>13</v>
      </c>
      <c r="P25" s="49"/>
      <c r="Q25" s="45"/>
      <c r="U25" s="5"/>
      <c r="BE25" s="31"/>
      <c r="BF25" s="33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</row>
    <row r="26" spans="3:70" ht="40" customHeight="1" x14ac:dyDescent="0.2">
      <c r="C26" s="43"/>
      <c r="D26" s="45"/>
      <c r="E26" s="45"/>
      <c r="F26" s="45"/>
      <c r="G26" s="45"/>
      <c r="H26" s="45"/>
      <c r="I26" s="45"/>
      <c r="J26" s="45"/>
      <c r="K26" s="45"/>
      <c r="L26" s="45"/>
      <c r="M26" s="45"/>
      <c r="O26" s="44">
        <v>14</v>
      </c>
      <c r="P26" s="49"/>
      <c r="Q26" s="45"/>
      <c r="U26" s="5"/>
      <c r="BE26" s="31"/>
      <c r="BF26" s="33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</row>
    <row r="27" spans="3:70" ht="40" customHeight="1" x14ac:dyDescent="0.2">
      <c r="C27" s="43"/>
      <c r="D27" s="45"/>
      <c r="E27" s="45"/>
      <c r="F27" s="45"/>
      <c r="G27" s="45"/>
      <c r="H27" s="45"/>
      <c r="I27" s="45"/>
      <c r="J27" s="45"/>
      <c r="K27" s="45"/>
      <c r="L27" s="45"/>
      <c r="M27" s="45"/>
      <c r="O27" s="44">
        <v>15</v>
      </c>
      <c r="P27" s="49"/>
      <c r="Q27" s="45"/>
      <c r="U27" s="5"/>
      <c r="BE27" s="31"/>
      <c r="BF27" s="33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</row>
    <row r="28" spans="3:70" ht="40" customHeight="1" x14ac:dyDescent="0.2">
      <c r="O28" s="44">
        <v>16</v>
      </c>
      <c r="P28" s="4"/>
      <c r="U28" s="5"/>
    </row>
    <row r="29" spans="3:70" ht="40" customHeight="1" x14ac:dyDescent="0.2">
      <c r="O29" s="44">
        <v>17</v>
      </c>
      <c r="P29" s="4"/>
      <c r="U29" s="5"/>
    </row>
    <row r="30" spans="3:70" ht="40" customHeight="1" x14ac:dyDescent="0.2">
      <c r="O30" s="44">
        <v>18</v>
      </c>
      <c r="P30" s="4"/>
      <c r="U30" s="5"/>
    </row>
    <row r="31" spans="3:70" ht="40" customHeight="1" thickBot="1" x14ac:dyDescent="0.25">
      <c r="O31" s="44">
        <v>19</v>
      </c>
      <c r="P31" s="4"/>
      <c r="U31" s="5"/>
    </row>
    <row r="32" spans="3:70" ht="40" customHeight="1" x14ac:dyDescent="0.2"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36"/>
      <c r="Q32" s="46"/>
      <c r="R32" s="46"/>
      <c r="S32" s="46"/>
      <c r="T32" s="46"/>
      <c r="U32" s="37"/>
      <c r="V32" s="46"/>
      <c r="W32" s="46"/>
      <c r="AQ32" s="1"/>
      <c r="AR32" s="7"/>
      <c r="AS32" s="7"/>
      <c r="AT32" s="7"/>
      <c r="AU32" s="7"/>
      <c r="AV32" s="41"/>
      <c r="AW32" s="41"/>
      <c r="AX32" s="7"/>
      <c r="AY32" s="7"/>
      <c r="AZ32" s="8"/>
    </row>
    <row r="33" spans="6:52" ht="40" customHeight="1" x14ac:dyDescent="0.2"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36"/>
      <c r="Q33" s="46"/>
      <c r="R33" s="46"/>
      <c r="S33" s="46"/>
      <c r="T33" s="46"/>
      <c r="U33" s="37"/>
      <c r="V33" s="46"/>
      <c r="W33" s="46"/>
      <c r="AQ33" s="4"/>
      <c r="AR33" s="42"/>
      <c r="AS33" s="42"/>
      <c r="AT33" s="42"/>
      <c r="AU33" s="42"/>
      <c r="AV33" s="42"/>
      <c r="AW33" s="42"/>
      <c r="AX33" s="42"/>
      <c r="AY33" s="42"/>
      <c r="AZ33" s="9"/>
    </row>
    <row r="34" spans="6:52" ht="40" customHeight="1" x14ac:dyDescent="0.2"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36"/>
      <c r="Q34" s="46"/>
      <c r="R34" s="46"/>
      <c r="S34" s="46"/>
      <c r="T34" s="46"/>
      <c r="U34" s="37"/>
      <c r="V34" s="46"/>
      <c r="W34" s="46"/>
      <c r="AQ34" s="4"/>
      <c r="AR34" s="42"/>
      <c r="AS34" s="42"/>
      <c r="AT34" s="42"/>
      <c r="AU34" s="42"/>
      <c r="AV34" s="42"/>
      <c r="AW34" s="42"/>
      <c r="AX34" s="42"/>
      <c r="AY34" s="42"/>
      <c r="AZ34" s="9"/>
    </row>
    <row r="35" spans="6:52" ht="40" customHeight="1" x14ac:dyDescent="0.2"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36"/>
      <c r="Q35" s="46"/>
      <c r="R35" s="46"/>
      <c r="S35" s="46"/>
      <c r="T35" s="46"/>
      <c r="U35" s="37"/>
      <c r="V35" s="46"/>
      <c r="W35" s="46"/>
      <c r="AQ35" s="4"/>
      <c r="AR35" s="42"/>
      <c r="AS35" s="42"/>
      <c r="AT35" s="42"/>
      <c r="AU35" s="42"/>
      <c r="AV35" s="42"/>
      <c r="AW35" s="42"/>
      <c r="AX35" s="42"/>
      <c r="AY35" s="42"/>
      <c r="AZ35" s="9"/>
    </row>
    <row r="36" spans="6:52" ht="40" customHeight="1" x14ac:dyDescent="0.2"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36"/>
      <c r="Q36" s="46"/>
      <c r="R36" s="46"/>
      <c r="S36" s="46"/>
      <c r="T36" s="46"/>
      <c r="U36" s="37"/>
      <c r="V36" s="46"/>
      <c r="W36" s="46"/>
      <c r="AQ36" s="4"/>
      <c r="AR36" s="42"/>
      <c r="AS36" s="42"/>
      <c r="AT36" s="42"/>
      <c r="AU36" s="42"/>
      <c r="AV36" s="42"/>
      <c r="AW36" s="42"/>
      <c r="AX36" s="42"/>
      <c r="AY36" s="42"/>
      <c r="AZ36" s="9"/>
    </row>
    <row r="37" spans="6:52" ht="40" customHeight="1" thickBot="1" x14ac:dyDescent="0.25"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50"/>
      <c r="Q37" s="51"/>
      <c r="R37" s="51"/>
      <c r="S37" s="51"/>
      <c r="T37" s="51"/>
      <c r="U37" s="52"/>
      <c r="V37" s="46"/>
      <c r="W37" s="46"/>
      <c r="AQ37" s="6"/>
      <c r="AR37" s="10"/>
      <c r="AS37" s="10"/>
      <c r="AT37" s="10"/>
      <c r="AU37" s="10"/>
      <c r="AV37" s="10"/>
      <c r="AW37" s="10"/>
      <c r="AX37" s="10"/>
      <c r="AY37" s="10"/>
      <c r="AZ37" s="11"/>
    </row>
    <row r="38" spans="6:52" ht="40" customHeight="1" x14ac:dyDescent="0.2"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</row>
    <row r="39" spans="6:52" ht="40" customHeight="1" x14ac:dyDescent="0.2">
      <c r="O39" s="44">
        <v>27</v>
      </c>
    </row>
    <row r="40" spans="6:52" ht="40" customHeight="1" x14ac:dyDescent="0.2">
      <c r="O40" s="44">
        <v>28</v>
      </c>
    </row>
    <row r="41" spans="6:52" ht="40" customHeight="1" thickBot="1" x14ac:dyDescent="0.25">
      <c r="O41" s="44">
        <v>29</v>
      </c>
    </row>
    <row r="42" spans="6:52" ht="40" customHeight="1" x14ac:dyDescent="0.2">
      <c r="O42" s="44">
        <v>30</v>
      </c>
      <c r="P42" s="1"/>
      <c r="Q42" s="2"/>
      <c r="R42" s="53" t="s">
        <v>1</v>
      </c>
      <c r="S42" s="2"/>
      <c r="T42" s="2"/>
      <c r="U42" s="2"/>
      <c r="V42" s="2"/>
      <c r="W42" s="2"/>
      <c r="X42" s="2"/>
      <c r="Y42" s="2"/>
      <c r="Z42" s="2"/>
      <c r="AA42" s="3"/>
    </row>
    <row r="43" spans="6:52" ht="40" customHeight="1" x14ac:dyDescent="0.2">
      <c r="O43" s="44">
        <v>31</v>
      </c>
      <c r="P43" s="4"/>
      <c r="Q43" s="38"/>
      <c r="R43" s="40"/>
      <c r="S43" s="38"/>
      <c r="T43" s="38"/>
      <c r="U43" s="38"/>
      <c r="V43" s="38"/>
      <c r="W43" s="38"/>
      <c r="X43" s="38"/>
      <c r="Y43" s="38"/>
      <c r="Z43" s="38"/>
      <c r="AA43" s="15"/>
    </row>
    <row r="44" spans="6:52" ht="40" customHeight="1" x14ac:dyDescent="0.2">
      <c r="O44" s="44">
        <v>32</v>
      </c>
      <c r="P44" s="4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15"/>
    </row>
    <row r="45" spans="6:52" ht="40" customHeight="1" x14ac:dyDescent="0.2">
      <c r="O45" s="44">
        <v>33</v>
      </c>
      <c r="P45" s="4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15"/>
    </row>
    <row r="46" spans="6:52" ht="40" customHeight="1" x14ac:dyDescent="0.2">
      <c r="O46" s="44">
        <v>34</v>
      </c>
      <c r="P46" s="4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15"/>
    </row>
    <row r="47" spans="6:52" ht="40" customHeight="1" x14ac:dyDescent="0.2">
      <c r="O47" s="44">
        <v>35</v>
      </c>
      <c r="P47" s="4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15"/>
    </row>
    <row r="48" spans="6:52" ht="40" customHeight="1" x14ac:dyDescent="0.2">
      <c r="O48" s="44">
        <v>36</v>
      </c>
      <c r="P48" s="4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15"/>
    </row>
    <row r="49" spans="15:27" ht="40" customHeight="1" thickBot="1" x14ac:dyDescent="0.25">
      <c r="O49" s="44">
        <v>37</v>
      </c>
      <c r="P49" s="6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6"/>
    </row>
  </sheetData>
  <mergeCells count="3">
    <mergeCell ref="AP16:AP17"/>
    <mergeCell ref="R42:R43"/>
    <mergeCell ref="U21:U22"/>
  </mergeCells>
  <conditionalFormatting sqref="BF15:BR16 BF18:BR27 BF17:BH17 BJ17:BR17">
    <cfRule type="colorScale" priority="2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I17">
    <cfRule type="colorScale" priority="1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07511-89EF-EA44-A62B-D74B6F081A8D}">
  <dimension ref="A2:DI40"/>
  <sheetViews>
    <sheetView topLeftCell="BR14" zoomScaleNormal="100" workbookViewId="0">
      <selection activeCell="CK30" sqref="CK30"/>
    </sheetView>
  </sheetViews>
  <sheetFormatPr baseColWidth="10" defaultColWidth="5.1640625" defaultRowHeight="31" customHeight="1" x14ac:dyDescent="0.2"/>
  <cols>
    <col min="1" max="9" width="5.1640625" style="19"/>
    <col min="10" max="11" width="5.1640625" style="19" customWidth="1"/>
    <col min="12" max="27" width="5.1640625" style="19"/>
    <col min="28" max="47" width="5.6640625" style="19" customWidth="1"/>
    <col min="48" max="48" width="5.33203125" style="19" bestFit="1" customWidth="1"/>
    <col min="49" max="49" width="5.33203125" style="19" customWidth="1"/>
    <col min="50" max="50" width="5.33203125" style="19" bestFit="1" customWidth="1"/>
    <col min="51" max="51" width="5.33203125" style="19" customWidth="1"/>
    <col min="52" max="62" width="5.33203125" style="19" bestFit="1" customWidth="1"/>
    <col min="63" max="63" width="7.1640625" style="19" bestFit="1" customWidth="1"/>
    <col min="64" max="64" width="5.33203125" style="19" bestFit="1" customWidth="1"/>
    <col min="65" max="70" width="5.1640625" style="19"/>
    <col min="71" max="71" width="7.83203125" style="19" bestFit="1" customWidth="1"/>
    <col min="72" max="83" width="6.1640625" style="19" bestFit="1" customWidth="1"/>
    <col min="84" max="86" width="5.1640625" style="19"/>
    <col min="87" max="87" width="7.83203125" style="19" bestFit="1" customWidth="1"/>
    <col min="88" max="88" width="5.1640625" style="19"/>
    <col min="89" max="89" width="10.1640625" style="19" bestFit="1" customWidth="1"/>
    <col min="90" max="16384" width="5.1640625" style="19"/>
  </cols>
  <sheetData>
    <row r="2" spans="1:113" ht="31" customHeight="1" x14ac:dyDescent="0.2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V2" s="20"/>
      <c r="AW2" s="20"/>
      <c r="BA2" s="21"/>
      <c r="BB2" s="21"/>
      <c r="BC2" s="20"/>
      <c r="BD2" s="20"/>
      <c r="BE2" s="21"/>
      <c r="BF2" s="18"/>
      <c r="BG2" s="21" t="s">
        <v>2</v>
      </c>
      <c r="BH2" s="21"/>
    </row>
    <row r="3" spans="1:113" ht="31" customHeight="1" x14ac:dyDescent="0.2"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V3" s="20"/>
      <c r="AW3" s="20"/>
      <c r="BA3" s="21"/>
      <c r="BB3" s="21"/>
      <c r="BC3" s="20"/>
      <c r="BD3" s="20"/>
      <c r="BE3" s="21"/>
      <c r="BF3" s="18"/>
      <c r="BG3" s="21" t="s">
        <v>3</v>
      </c>
      <c r="BH3" s="21"/>
    </row>
    <row r="4" spans="1:113" ht="31" customHeight="1" x14ac:dyDescent="0.2">
      <c r="BD4" s="20"/>
      <c r="BE4" s="21"/>
      <c r="BG4" s="21" t="s">
        <v>4</v>
      </c>
      <c r="BH4" s="20"/>
    </row>
    <row r="5" spans="1:113" ht="31" customHeight="1" x14ac:dyDescent="0.2">
      <c r="BD5" s="20"/>
      <c r="BE5" s="21"/>
    </row>
    <row r="6" spans="1:113" ht="31" customHeight="1" x14ac:dyDescent="0.2">
      <c r="BD6" s="20"/>
      <c r="BE6" s="21"/>
      <c r="BG6" s="21" t="s">
        <v>5</v>
      </c>
    </row>
    <row r="7" spans="1:113" ht="31" customHeight="1" x14ac:dyDescent="0.2">
      <c r="BE7" s="18"/>
      <c r="BG7" s="21" t="s">
        <v>6</v>
      </c>
    </row>
    <row r="10" spans="1:113" ht="31" customHeight="1" x14ac:dyDescent="0.2">
      <c r="BD10" s="22"/>
      <c r="BE10" s="22"/>
      <c r="BF10" s="22"/>
      <c r="BG10" s="22"/>
      <c r="BH10" s="22"/>
      <c r="BI10" s="22"/>
      <c r="BJ10" s="22"/>
      <c r="BK10" s="22"/>
      <c r="BL10" s="22"/>
      <c r="BM10" s="22"/>
    </row>
    <row r="11" spans="1:113" ht="31" customHeight="1" x14ac:dyDescent="0.2">
      <c r="BR11" s="18" t="s">
        <v>7</v>
      </c>
      <c r="BS11" s="18"/>
      <c r="BT11" s="18"/>
      <c r="BU11" s="18"/>
      <c r="BV11" s="18"/>
      <c r="BW11" s="18"/>
      <c r="BX11" s="18"/>
      <c r="CG11" s="18" t="s">
        <v>8</v>
      </c>
      <c r="CH11" s="18"/>
      <c r="CI11" s="18"/>
      <c r="CJ11" s="18"/>
      <c r="CK11" s="18"/>
      <c r="CL11" s="18"/>
      <c r="CM11" s="18"/>
      <c r="CV11" s="19" t="s">
        <v>9</v>
      </c>
    </row>
    <row r="12" spans="1:113" ht="31" customHeight="1" x14ac:dyDescent="0.2">
      <c r="BJ12" s="23" t="s">
        <v>10</v>
      </c>
      <c r="BR12" s="24"/>
      <c r="BS12" s="25" t="s">
        <v>11</v>
      </c>
      <c r="BT12" s="25" t="s">
        <v>12</v>
      </c>
      <c r="BU12" s="25" t="s">
        <v>13</v>
      </c>
      <c r="BV12" s="25" t="s">
        <v>14</v>
      </c>
      <c r="BW12" s="25" t="s">
        <v>15</v>
      </c>
      <c r="BX12" s="25" t="s">
        <v>16</v>
      </c>
      <c r="BY12" s="25" t="s">
        <v>17</v>
      </c>
      <c r="BZ12" s="25" t="s">
        <v>18</v>
      </c>
      <c r="CA12" s="25" t="s">
        <v>19</v>
      </c>
      <c r="CB12" s="25" t="s">
        <v>20</v>
      </c>
      <c r="CC12" s="25" t="s">
        <v>21</v>
      </c>
      <c r="CD12" s="25" t="s">
        <v>22</v>
      </c>
      <c r="CE12" s="25" t="s">
        <v>23</v>
      </c>
      <c r="CG12" s="24"/>
      <c r="CH12" s="25" t="s">
        <v>11</v>
      </c>
      <c r="CI12" s="25" t="s">
        <v>12</v>
      </c>
      <c r="CJ12" s="25" t="s">
        <v>13</v>
      </c>
      <c r="CK12" s="25" t="s">
        <v>14</v>
      </c>
      <c r="CL12" s="25" t="s">
        <v>15</v>
      </c>
      <c r="CM12" s="25" t="s">
        <v>16</v>
      </c>
      <c r="CN12" s="25" t="s">
        <v>17</v>
      </c>
      <c r="CO12" s="25" t="s">
        <v>18</v>
      </c>
      <c r="CP12" s="25" t="s">
        <v>19</v>
      </c>
      <c r="CQ12" s="25" t="s">
        <v>20</v>
      </c>
      <c r="CR12" s="25" t="s">
        <v>21</v>
      </c>
      <c r="CS12" s="25" t="s">
        <v>22</v>
      </c>
      <c r="CT12" s="25" t="s">
        <v>23</v>
      </c>
      <c r="CV12" s="24"/>
      <c r="CW12" s="25" t="s">
        <v>11</v>
      </c>
      <c r="CX12" s="25" t="s">
        <v>12</v>
      </c>
      <c r="CY12" s="25" t="s">
        <v>13</v>
      </c>
      <c r="CZ12" s="25" t="s">
        <v>14</v>
      </c>
      <c r="DA12" s="25" t="s">
        <v>15</v>
      </c>
      <c r="DB12" s="25" t="s">
        <v>16</v>
      </c>
      <c r="DC12" s="25" t="s">
        <v>17</v>
      </c>
      <c r="DD12" s="25" t="s">
        <v>18</v>
      </c>
      <c r="DE12" s="25" t="s">
        <v>19</v>
      </c>
      <c r="DF12" s="25" t="s">
        <v>20</v>
      </c>
      <c r="DG12" s="25" t="s">
        <v>21</v>
      </c>
      <c r="DH12" s="25" t="s">
        <v>22</v>
      </c>
      <c r="DI12" s="25" t="s">
        <v>23</v>
      </c>
    </row>
    <row r="13" spans="1:113" ht="31" customHeight="1" x14ac:dyDescent="0.2">
      <c r="BK13" s="18" t="s">
        <v>24</v>
      </c>
      <c r="BL13" s="18" t="s">
        <v>25</v>
      </c>
      <c r="BR13" s="26" t="s">
        <v>11</v>
      </c>
      <c r="BS13" s="27"/>
      <c r="BT13" s="27">
        <f>ABS(IF(BT28&gt;0,VLOOKUP(BT$12,$BJ$14:$BK$26,2,FALSE)-VLOOKUP($BR13,$BJ$14:$BK$26,2,FALSE),""))</f>
        <v>3.5</v>
      </c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G13" s="26" t="s">
        <v>11</v>
      </c>
      <c r="CH13" s="55"/>
      <c r="CI13" s="34">
        <f>ABS(IF(BT28&gt;0,VLOOKUP(CI$12,$BJ$14:$BL$26,3,FALSE)-VLOOKUP($BR13,$BJ$14:$BL$26,3,FALSE),""))</f>
        <v>0</v>
      </c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V13" s="26" t="s">
        <v>11</v>
      </c>
      <c r="CW13" s="55" t="str">
        <f>IF(SQRT(BS13^2+CH13^2)=0,"",SQRT(BS13^2+CH13^2))</f>
        <v/>
      </c>
      <c r="CX13" s="55">
        <f>IF(SQRT(BT13^2+CI13^2)=0,"",SQRT(BT13^2+CI13^2))*14</f>
        <v>49</v>
      </c>
      <c r="CY13" s="55"/>
      <c r="CZ13" s="55" t="str">
        <f t="shared" ref="CZ13:DI25" si="0">IF(SQRT(BV13^2+CK13^2)=0,"",SQRT(BV13^2+CK13^2))</f>
        <v/>
      </c>
      <c r="DA13" s="55" t="str">
        <f t="shared" si="0"/>
        <v/>
      </c>
      <c r="DB13" s="55" t="str">
        <f t="shared" si="0"/>
        <v/>
      </c>
      <c r="DC13" s="55" t="str">
        <f t="shared" si="0"/>
        <v/>
      </c>
      <c r="DD13" s="55" t="str">
        <f t="shared" si="0"/>
        <v/>
      </c>
      <c r="DE13" s="55" t="str">
        <f t="shared" si="0"/>
        <v/>
      </c>
      <c r="DF13" s="55" t="str">
        <f t="shared" si="0"/>
        <v/>
      </c>
      <c r="DG13" s="55" t="str">
        <f t="shared" si="0"/>
        <v/>
      </c>
      <c r="DH13" s="55" t="str">
        <f t="shared" si="0"/>
        <v/>
      </c>
      <c r="DI13" s="55" t="str">
        <f t="shared" si="0"/>
        <v/>
      </c>
    </row>
    <row r="14" spans="1:113" ht="31" customHeight="1" x14ac:dyDescent="0.2">
      <c r="BD14" s="22"/>
      <c r="BE14" s="22"/>
      <c r="BF14" s="22"/>
      <c r="BG14" s="22"/>
      <c r="BH14" s="22"/>
      <c r="BI14" s="22">
        <f t="shared" ref="BI14" si="1">BH14+1</f>
        <v>1</v>
      </c>
      <c r="BJ14" s="29" t="s">
        <v>23</v>
      </c>
      <c r="BK14" s="29">
        <v>31</v>
      </c>
      <c r="BL14" s="29">
        <v>31</v>
      </c>
      <c r="BM14" s="30"/>
      <c r="BN14" s="30"/>
      <c r="BR14" s="31" t="s">
        <v>12</v>
      </c>
      <c r="BS14" s="27"/>
      <c r="BT14" s="27"/>
      <c r="BU14" s="27">
        <f t="shared" ref="BS14:CA15" si="2">ABS(IF(BU29&gt;0,VLOOKUP(BU$12,$BJ$14:$BK$26,2,FALSE)-VLOOKUP($BR14,$BJ$14:$BK$26,2,FALSE),""))</f>
        <v>5</v>
      </c>
      <c r="BV14" s="27">
        <f t="shared" si="2"/>
        <v>8.5</v>
      </c>
      <c r="BW14" s="27"/>
      <c r="BX14" s="27"/>
      <c r="BY14" s="27"/>
      <c r="BZ14" s="27"/>
      <c r="CA14" s="27"/>
      <c r="CB14" s="27"/>
      <c r="CC14" s="27"/>
      <c r="CD14" s="27"/>
      <c r="CE14" s="27"/>
      <c r="CG14" s="31" t="s">
        <v>12</v>
      </c>
      <c r="CH14" s="34"/>
      <c r="CI14" s="56"/>
      <c r="CJ14" s="34">
        <f t="shared" ref="CJ14:CK14" si="3">ABS(IF(BU29&gt;0,VLOOKUP(CJ$12,$BJ$14:$BL$26,3,FALSE)-VLOOKUP($BR14,$BJ$14:$BL$26,3,FALSE),""))</f>
        <v>1</v>
      </c>
      <c r="CK14" s="34">
        <f t="shared" si="3"/>
        <v>0</v>
      </c>
      <c r="CL14" s="56"/>
      <c r="CM14" s="56"/>
      <c r="CN14" s="56"/>
      <c r="CO14" s="56"/>
      <c r="CP14" s="56"/>
      <c r="CQ14" s="56"/>
      <c r="CR14" s="56"/>
      <c r="CS14" s="56"/>
      <c r="CT14" s="56"/>
      <c r="CV14" s="31" t="s">
        <v>12</v>
      </c>
      <c r="CW14" s="55"/>
      <c r="CX14" s="55" t="str">
        <f t="shared" ref="CX14:CY25" si="4">IF(SQRT(BT14^2+CI14^2)=0,"",SQRT(BT14^2+CI14^2))</f>
        <v/>
      </c>
      <c r="CY14" s="55">
        <f>IF(SQRT(BU14^2+CJ14^2)=0,"",SQRT(BU14^2+CJ14^2))*14</f>
        <v>71.386273190298979</v>
      </c>
      <c r="CZ14" s="55">
        <f>IF(SQRT(BV14^2+CK14^2)=0,"",SQRT(BV14^2+CK14^2))*14</f>
        <v>119</v>
      </c>
      <c r="DA14" s="55" t="str">
        <f t="shared" si="0"/>
        <v/>
      </c>
      <c r="DB14" s="55" t="str">
        <f t="shared" si="0"/>
        <v/>
      </c>
      <c r="DC14" s="55" t="str">
        <f t="shared" si="0"/>
        <v/>
      </c>
      <c r="DD14" s="55" t="str">
        <f t="shared" si="0"/>
        <v/>
      </c>
      <c r="DE14" s="55" t="str">
        <f t="shared" si="0"/>
        <v/>
      </c>
      <c r="DF14" s="55" t="str">
        <f t="shared" si="0"/>
        <v/>
      </c>
      <c r="DG14" s="55" t="str">
        <f t="shared" si="0"/>
        <v/>
      </c>
      <c r="DH14" s="55" t="str">
        <f t="shared" si="0"/>
        <v/>
      </c>
      <c r="DI14" s="55" t="str">
        <f t="shared" si="0"/>
        <v/>
      </c>
    </row>
    <row r="15" spans="1:113" ht="31" customHeight="1" x14ac:dyDescent="0.2">
      <c r="BJ15" s="29" t="s">
        <v>20</v>
      </c>
      <c r="BK15" s="29">
        <v>20.5</v>
      </c>
      <c r="BL15" s="29">
        <v>4</v>
      </c>
      <c r="BM15" s="30"/>
      <c r="BN15" s="30"/>
      <c r="BR15" s="31" t="s">
        <v>13</v>
      </c>
      <c r="BS15" s="27"/>
      <c r="BT15" s="27"/>
      <c r="BU15" s="27"/>
      <c r="BV15" s="27">
        <f t="shared" si="2"/>
        <v>3.5</v>
      </c>
      <c r="BW15" s="27"/>
      <c r="BX15" s="27"/>
      <c r="BY15" s="27"/>
      <c r="BZ15" s="27"/>
      <c r="CA15" s="27">
        <f t="shared" si="2"/>
        <v>2</v>
      </c>
      <c r="CB15" s="27"/>
      <c r="CC15" s="27"/>
      <c r="CD15" s="27"/>
      <c r="CE15" s="27"/>
      <c r="CG15" s="31" t="s">
        <v>13</v>
      </c>
      <c r="CH15" s="57"/>
      <c r="CI15" s="56"/>
      <c r="CJ15" s="56"/>
      <c r="CK15" s="34">
        <f>ABS(IF(BV30&gt;0,VLOOKUP(CK$12,$BJ$14:$BL$26,3,FALSE)-VLOOKUP($BR15,$BJ$14:$BL$26,3,FALSE),""))</f>
        <v>1</v>
      </c>
      <c r="CL15" s="56"/>
      <c r="CM15" s="56"/>
      <c r="CN15" s="56"/>
      <c r="CO15" s="56"/>
      <c r="CP15" s="34">
        <f>ABS(IF(CA30&gt;0,VLOOKUP(CP$12,$BJ$14:$BL$26,3,FALSE)-VLOOKUP($BR15,$BJ$14:$BL$26,3,FALSE),""))</f>
        <v>5</v>
      </c>
      <c r="CQ15" s="56"/>
      <c r="CR15" s="56"/>
      <c r="CS15" s="56"/>
      <c r="CT15" s="56"/>
      <c r="CV15" s="31" t="s">
        <v>13</v>
      </c>
      <c r="CW15" s="55" t="str">
        <f t="shared" ref="CW15:CW25" si="5">IF(SQRT(BS15^2+CH15^2)=0,"",SQRT(BS15^2+CH15^2))</f>
        <v/>
      </c>
      <c r="CX15" s="55" t="str">
        <f t="shared" si="4"/>
        <v/>
      </c>
      <c r="CY15" s="55" t="str">
        <f t="shared" si="4"/>
        <v/>
      </c>
      <c r="CZ15" s="55">
        <f>IF(SQRT(BV15^2+CK15^2)=0,"",SQRT(BV15^2+CK15^2))*14</f>
        <v>50.960769224963627</v>
      </c>
      <c r="DA15" s="55" t="str">
        <f t="shared" si="0"/>
        <v/>
      </c>
      <c r="DB15" s="55" t="str">
        <f t="shared" si="0"/>
        <v/>
      </c>
      <c r="DC15" s="55" t="str">
        <f t="shared" si="0"/>
        <v/>
      </c>
      <c r="DD15" s="55" t="str">
        <f t="shared" si="0"/>
        <v/>
      </c>
      <c r="DE15" s="55">
        <f>IF(SQRT(CA15^2+CP15^2)=0,"",SQRT(CA15^2+CP15^2))*14</f>
        <v>75.392307299883058</v>
      </c>
      <c r="DF15" s="55" t="str">
        <f t="shared" si="0"/>
        <v/>
      </c>
      <c r="DG15" s="55" t="str">
        <f t="shared" si="0"/>
        <v/>
      </c>
      <c r="DH15" s="55" t="str">
        <f t="shared" si="0"/>
        <v/>
      </c>
      <c r="DI15" s="55" t="str">
        <f t="shared" si="0"/>
        <v/>
      </c>
    </row>
    <row r="16" spans="1:113" ht="31" customHeight="1" x14ac:dyDescent="0.2">
      <c r="BJ16" s="29" t="s">
        <v>14</v>
      </c>
      <c r="BK16" s="29">
        <v>12</v>
      </c>
      <c r="BL16" s="29">
        <v>2</v>
      </c>
      <c r="BM16" s="30"/>
      <c r="BN16" s="30"/>
      <c r="BR16" s="31" t="s">
        <v>14</v>
      </c>
      <c r="BS16" s="27"/>
      <c r="BT16" s="27"/>
      <c r="BU16" s="27">
        <f t="shared" ref="BU16:CA16" si="6">ABS(IF(BU31&gt;0,VLOOKUP(BU$12,$BJ$14:$BK$26,2,FALSE)-VLOOKUP($BR16,$BJ$14:$BK$26,2,FALSE),""))</f>
        <v>3.5</v>
      </c>
      <c r="BV16" s="27"/>
      <c r="BW16" s="27"/>
      <c r="BX16" s="27"/>
      <c r="BY16" s="27"/>
      <c r="BZ16" s="27">
        <f t="shared" si="6"/>
        <v>5.5</v>
      </c>
      <c r="CA16" s="27">
        <f t="shared" si="6"/>
        <v>1.5</v>
      </c>
      <c r="CB16" s="27"/>
      <c r="CC16" s="27"/>
      <c r="CD16" s="27"/>
      <c r="CE16" s="27"/>
      <c r="CG16" s="31" t="s">
        <v>14</v>
      </c>
      <c r="CH16" s="57"/>
      <c r="CI16" s="56"/>
      <c r="CJ16" s="34">
        <f>ABS(IF(BU31&gt;0,VLOOKUP(CJ$12,$BJ$14:$BL$26,3,FALSE)-VLOOKUP($BR16,$BJ$14:$BL$26,3,FALSE),""))</f>
        <v>1</v>
      </c>
      <c r="CK16" s="56"/>
      <c r="CL16" s="56"/>
      <c r="CM16" s="56"/>
      <c r="CN16" s="34"/>
      <c r="CO16" s="34">
        <f t="shared" ref="CN16:CP16" si="7">ABS(IF(BZ31&gt;0,VLOOKUP(CO$12,$BJ$14:$BL$26,3,FALSE)-VLOOKUP($BR16,$BJ$14:$BL$26,3,FALSE),""))</f>
        <v>7</v>
      </c>
      <c r="CP16" s="34">
        <f t="shared" si="7"/>
        <v>4</v>
      </c>
      <c r="CQ16" s="56"/>
      <c r="CR16" s="56"/>
      <c r="CS16" s="56"/>
      <c r="CT16" s="56"/>
      <c r="CV16" s="31" t="s">
        <v>14</v>
      </c>
      <c r="CW16" s="55" t="str">
        <f t="shared" si="5"/>
        <v/>
      </c>
      <c r="CX16" s="55" t="str">
        <f t="shared" si="4"/>
        <v/>
      </c>
      <c r="CY16" s="55">
        <f>IF(SQRT(BU16^2+CJ16^2)=0,"",SQRT(BU16^2+CJ16^2))*14</f>
        <v>50.960769224963627</v>
      </c>
      <c r="CZ16" s="55" t="str">
        <f t="shared" si="0"/>
        <v/>
      </c>
      <c r="DA16" s="55" t="str">
        <f t="shared" si="0"/>
        <v/>
      </c>
      <c r="DB16" s="55" t="str">
        <f t="shared" si="0"/>
        <v/>
      </c>
      <c r="DC16" s="55"/>
      <c r="DD16" s="55">
        <f t="shared" ref="DD16:DE16" si="8">IF(SQRT(BZ16^2+CO16^2)=0,"",SQRT(BZ16^2+CO16^2))*14</f>
        <v>124.631456703354</v>
      </c>
      <c r="DE16" s="55">
        <f t="shared" si="8"/>
        <v>59.808026217222711</v>
      </c>
      <c r="DF16" s="55" t="str">
        <f t="shared" si="0"/>
        <v/>
      </c>
      <c r="DG16" s="55" t="str">
        <f t="shared" si="0"/>
        <v/>
      </c>
      <c r="DH16" s="55" t="str">
        <f t="shared" si="0"/>
        <v/>
      </c>
      <c r="DI16" s="55" t="str">
        <f t="shared" si="0"/>
        <v/>
      </c>
    </row>
    <row r="17" spans="58:113" ht="31" customHeight="1" x14ac:dyDescent="0.2">
      <c r="BJ17" s="29" t="s">
        <v>12</v>
      </c>
      <c r="BK17" s="29">
        <v>3.5</v>
      </c>
      <c r="BL17" s="29">
        <v>2</v>
      </c>
      <c r="BM17" s="30"/>
      <c r="BN17" s="30"/>
      <c r="BR17" s="31" t="s">
        <v>15</v>
      </c>
      <c r="BS17" s="27"/>
      <c r="BT17" s="27"/>
      <c r="BU17" s="27"/>
      <c r="BV17" s="27"/>
      <c r="BW17" s="27"/>
      <c r="BX17" s="27">
        <f t="shared" ref="BX17:BZ17" si="9">ABS(IF(BX32&gt;0,VLOOKUP(BX$12,$BJ$14:$BK$26,2,FALSE)-VLOOKUP($BR17,$BJ$14:$BK$26,2,FALSE),""))</f>
        <v>5</v>
      </c>
      <c r="BY17" s="27">
        <f t="shared" si="9"/>
        <v>14</v>
      </c>
      <c r="BZ17" s="27">
        <f t="shared" si="9"/>
        <v>12.5</v>
      </c>
      <c r="CA17" s="27"/>
      <c r="CB17" s="27"/>
      <c r="CC17" s="27"/>
      <c r="CD17" s="27"/>
      <c r="CE17" s="27"/>
      <c r="CG17" s="31" t="s">
        <v>15</v>
      </c>
      <c r="CH17" s="57"/>
      <c r="CI17" s="56"/>
      <c r="CJ17" s="56"/>
      <c r="CK17" s="56"/>
      <c r="CL17" s="56"/>
      <c r="CM17" s="34">
        <f t="shared" ref="CM17:CQ20" si="10">ABS(IF(BX32&gt;0,VLOOKUP(CM$12,$BJ$14:$BL$26,3,FALSE)-VLOOKUP($BR17,$BJ$14:$BL$26,3,FALSE),""))</f>
        <v>2</v>
      </c>
      <c r="CN17" s="34">
        <f t="shared" si="10"/>
        <v>2</v>
      </c>
      <c r="CO17" s="34">
        <f t="shared" si="10"/>
        <v>2</v>
      </c>
      <c r="CP17" s="56"/>
      <c r="CQ17" s="56"/>
      <c r="CR17" s="56"/>
      <c r="CS17" s="56"/>
      <c r="CT17" s="56"/>
      <c r="CV17" s="31" t="s">
        <v>15</v>
      </c>
      <c r="CW17" s="55" t="str">
        <f t="shared" si="5"/>
        <v/>
      </c>
      <c r="CX17" s="55" t="str">
        <f t="shared" si="4"/>
        <v/>
      </c>
      <c r="CY17" s="55" t="str">
        <f t="shared" si="4"/>
        <v/>
      </c>
      <c r="CZ17" s="55" t="str">
        <f t="shared" si="0"/>
        <v/>
      </c>
      <c r="DA17" s="55" t="str">
        <f t="shared" si="0"/>
        <v/>
      </c>
      <c r="DB17" s="55">
        <f>IF(SQRT(BX17^2+CM17^2)=0,"",SQRT(BX17^2+CM17^2))*14</f>
        <v>75.392307299883058</v>
      </c>
      <c r="DC17" s="55">
        <f>IF(SQRT(BY17^2+CN17^2)=0,"",SQRT(BY17^2+CN17^2))*14</f>
        <v>197.98989873223331</v>
      </c>
      <c r="DD17" s="55">
        <f>IF(SQRT(BZ17^2+CO17^2)=0,"",SQRT(BZ17^2+CO17^2))*14</f>
        <v>177.22584461641028</v>
      </c>
      <c r="DE17" s="55" t="str">
        <f t="shared" si="0"/>
        <v/>
      </c>
      <c r="DF17" s="55" t="str">
        <f t="shared" si="0"/>
        <v/>
      </c>
      <c r="DG17" s="55" t="str">
        <f t="shared" si="0"/>
        <v/>
      </c>
      <c r="DH17" s="55" t="str">
        <f t="shared" si="0"/>
        <v/>
      </c>
      <c r="DI17" s="55" t="str">
        <f t="shared" si="0"/>
        <v/>
      </c>
    </row>
    <row r="18" spans="58:113" ht="31" customHeight="1" x14ac:dyDescent="0.2">
      <c r="BJ18" s="29" t="s">
        <v>22</v>
      </c>
      <c r="BK18" s="29">
        <v>18.5</v>
      </c>
      <c r="BL18" s="29">
        <v>8</v>
      </c>
      <c r="BM18" s="30"/>
      <c r="BN18" s="30"/>
      <c r="BR18" s="31" t="s">
        <v>16</v>
      </c>
      <c r="BS18" s="27"/>
      <c r="BT18" s="27"/>
      <c r="BU18" s="27"/>
      <c r="BV18" s="27"/>
      <c r="BW18" s="27"/>
      <c r="BX18" s="27"/>
      <c r="BY18" s="27">
        <f t="shared" ref="BU18:CA18" si="11">ABS(IF(BY33&gt;0,VLOOKUP(BY$12,$BJ$14:$BK$26,2,FALSE)-VLOOKUP($BR18,$BJ$14:$BK$26,2,FALSE),""))</f>
        <v>9</v>
      </c>
      <c r="BZ18" s="27">
        <f t="shared" si="11"/>
        <v>7.5</v>
      </c>
      <c r="CA18" s="27">
        <f t="shared" si="11"/>
        <v>14.5</v>
      </c>
      <c r="CB18" s="27"/>
      <c r="CC18" s="27"/>
      <c r="CD18" s="27"/>
      <c r="CE18" s="27"/>
      <c r="CG18" s="31" t="s">
        <v>16</v>
      </c>
      <c r="CH18" s="57"/>
      <c r="CI18" s="56"/>
      <c r="CJ18" s="34"/>
      <c r="CK18" s="56"/>
      <c r="CL18" s="56"/>
      <c r="CM18" s="56"/>
      <c r="CN18" s="34">
        <f t="shared" si="10"/>
        <v>0</v>
      </c>
      <c r="CO18" s="34">
        <f t="shared" si="10"/>
        <v>0</v>
      </c>
      <c r="CP18" s="34">
        <f t="shared" si="10"/>
        <v>3</v>
      </c>
      <c r="CQ18" s="56"/>
      <c r="CR18" s="56"/>
      <c r="CS18" s="56"/>
      <c r="CT18" s="56"/>
      <c r="CV18" s="31" t="s">
        <v>16</v>
      </c>
      <c r="CW18" s="55" t="str">
        <f t="shared" si="5"/>
        <v/>
      </c>
      <c r="CX18" s="55" t="str">
        <f t="shared" si="4"/>
        <v/>
      </c>
      <c r="CY18" s="55"/>
      <c r="CZ18" s="55" t="str">
        <f t="shared" si="0"/>
        <v/>
      </c>
      <c r="DA18" s="55" t="str">
        <f t="shared" si="0"/>
        <v/>
      </c>
      <c r="DB18" s="55" t="str">
        <f t="shared" si="0"/>
        <v/>
      </c>
      <c r="DC18" s="55">
        <f>IF(SQRT(BY18^2+CN18^2)=0,"",SQRT(BY18^2+CN18^2))*14</f>
        <v>126</v>
      </c>
      <c r="DD18" s="55">
        <f>IF(SQRT(BZ18^2+CO18^2)=0,"",SQRT(BZ18^2+CO18^2))*14</f>
        <v>105</v>
      </c>
      <c r="DE18" s="55">
        <f>IF(SQRT(CA18^2+CP18^2)=0,"",SQRT(CA18^2+CP18^2))*14</f>
        <v>207.29930052945187</v>
      </c>
      <c r="DF18" s="55" t="str">
        <f t="shared" si="0"/>
        <v/>
      </c>
      <c r="DG18" s="55" t="str">
        <f t="shared" si="0"/>
        <v/>
      </c>
      <c r="DH18" s="55" t="str">
        <f t="shared" si="0"/>
        <v/>
      </c>
      <c r="DI18" s="55" t="str">
        <f t="shared" si="0"/>
        <v/>
      </c>
    </row>
    <row r="19" spans="58:113" ht="31" customHeight="1" x14ac:dyDescent="0.2">
      <c r="BJ19" s="29" t="s">
        <v>18</v>
      </c>
      <c r="BK19" s="29">
        <v>17.5</v>
      </c>
      <c r="BL19" s="29">
        <v>9</v>
      </c>
      <c r="BM19" s="30"/>
      <c r="BN19" s="30"/>
      <c r="BR19" s="31" t="s">
        <v>17</v>
      </c>
      <c r="BS19" s="27"/>
      <c r="BT19" s="27"/>
      <c r="BU19" s="27"/>
      <c r="BV19" s="27"/>
      <c r="BW19" s="27">
        <f t="shared" ref="BW19:CB21" si="12">ABS(IF(BW34&gt;0,VLOOKUP(BW$12,$BJ$14:$BK$26,2,FALSE)-VLOOKUP($BR19,$BJ$14:$BK$26,2,FALSE),""))</f>
        <v>14</v>
      </c>
      <c r="BX19" s="27">
        <f t="shared" si="12"/>
        <v>9</v>
      </c>
      <c r="BY19" s="27"/>
      <c r="BZ19" s="27">
        <f t="shared" si="12"/>
        <v>1.5</v>
      </c>
      <c r="CA19" s="27">
        <f t="shared" si="12"/>
        <v>5.5</v>
      </c>
      <c r="CB19" s="27"/>
      <c r="CC19" s="27"/>
      <c r="CD19" s="27"/>
      <c r="CE19" s="27"/>
      <c r="CG19" s="31" t="s">
        <v>17</v>
      </c>
      <c r="CH19" s="57"/>
      <c r="CI19" s="56"/>
      <c r="CJ19" s="56"/>
      <c r="CK19" s="56"/>
      <c r="CL19" s="34">
        <f t="shared" ref="CL19:CM19" si="13">ABS(IF(BW34&gt;0,VLOOKUP(CL$12,$BJ$14:$BL$26,3,FALSE)-VLOOKUP($BR19,$BJ$14:$BL$26,3,FALSE),""))</f>
        <v>2</v>
      </c>
      <c r="CM19" s="34">
        <f t="shared" si="13"/>
        <v>0</v>
      </c>
      <c r="CN19" s="56"/>
      <c r="CO19" s="34">
        <f t="shared" si="10"/>
        <v>0</v>
      </c>
      <c r="CP19" s="34">
        <f t="shared" si="10"/>
        <v>3</v>
      </c>
      <c r="CQ19" s="56"/>
      <c r="CR19" s="56"/>
      <c r="CS19" s="56"/>
      <c r="CT19" s="56"/>
      <c r="CV19" s="31" t="s">
        <v>17</v>
      </c>
      <c r="CW19" s="55" t="str">
        <f t="shared" si="5"/>
        <v/>
      </c>
      <c r="CX19" s="55" t="str">
        <f t="shared" si="4"/>
        <v/>
      </c>
      <c r="CY19" s="55" t="str">
        <f t="shared" si="4"/>
        <v/>
      </c>
      <c r="CZ19" s="55" t="str">
        <f t="shared" si="0"/>
        <v/>
      </c>
      <c r="DA19" s="55">
        <f>IF(SQRT(BW19^2+CL19^2)=0,"",SQRT(BW19^2+CL19^2))*14</f>
        <v>197.98989873223331</v>
      </c>
      <c r="DB19" s="55">
        <f>IF(SQRT(BX19^2+CM19^2)=0,"",SQRT(BX19^2+CM19^2))*14</f>
        <v>126</v>
      </c>
      <c r="DC19" s="55" t="str">
        <f t="shared" si="0"/>
        <v/>
      </c>
      <c r="DD19" s="55">
        <f>IF(SQRT(BZ19^2+CO19^2)=0,"",SQRT(BZ19^2+CO19^2))*14</f>
        <v>21</v>
      </c>
      <c r="DE19" s="55">
        <f>IF(SQRT(CA19^2+CP19^2)=0,"",SQRT(CA19^2+CP19^2))*14</f>
        <v>87.709748602991681</v>
      </c>
      <c r="DF19" s="55" t="str">
        <f t="shared" si="0"/>
        <v/>
      </c>
      <c r="DG19" s="55" t="str">
        <f t="shared" si="0"/>
        <v/>
      </c>
      <c r="DH19" s="55" t="str">
        <f t="shared" si="0"/>
        <v/>
      </c>
      <c r="DI19" s="55" t="str">
        <f t="shared" si="0"/>
        <v/>
      </c>
    </row>
    <row r="20" spans="58:113" ht="31" customHeight="1" x14ac:dyDescent="0.2">
      <c r="BJ20" s="29" t="s">
        <v>19</v>
      </c>
      <c r="BK20" s="29">
        <v>10.5</v>
      </c>
      <c r="BL20" s="29">
        <v>6</v>
      </c>
      <c r="BM20" s="30"/>
      <c r="BN20" s="30"/>
      <c r="BR20" s="31" t="s">
        <v>18</v>
      </c>
      <c r="BS20" s="27"/>
      <c r="BT20" s="27"/>
      <c r="BU20" s="27"/>
      <c r="BV20" s="27"/>
      <c r="BW20" s="27"/>
      <c r="BX20" s="27"/>
      <c r="BY20" s="27"/>
      <c r="BZ20" s="27"/>
      <c r="CA20" s="27">
        <f t="shared" si="12"/>
        <v>7</v>
      </c>
      <c r="CB20" s="27">
        <f t="shared" si="12"/>
        <v>3</v>
      </c>
      <c r="CC20" s="27"/>
      <c r="CD20" s="27"/>
      <c r="CE20" s="27"/>
      <c r="CG20" s="31" t="s">
        <v>18</v>
      </c>
      <c r="CH20" s="57"/>
      <c r="CI20" s="56"/>
      <c r="CJ20" s="56"/>
      <c r="CK20" s="56"/>
      <c r="CL20" s="56"/>
      <c r="CM20" s="56"/>
      <c r="CN20" s="56"/>
      <c r="CO20" s="56"/>
      <c r="CP20" s="34">
        <f t="shared" si="10"/>
        <v>3</v>
      </c>
      <c r="CQ20" s="34">
        <f t="shared" si="10"/>
        <v>5</v>
      </c>
      <c r="CR20" s="56"/>
      <c r="CS20" s="56"/>
      <c r="CT20" s="56"/>
      <c r="CV20" s="31" t="s">
        <v>18</v>
      </c>
      <c r="CW20" s="55" t="str">
        <f t="shared" si="5"/>
        <v/>
      </c>
      <c r="CX20" s="55" t="str">
        <f t="shared" si="4"/>
        <v/>
      </c>
      <c r="CY20" s="55" t="str">
        <f t="shared" si="4"/>
        <v/>
      </c>
      <c r="CZ20" s="55" t="str">
        <f t="shared" si="0"/>
        <v/>
      </c>
      <c r="DA20" s="55" t="str">
        <f t="shared" si="0"/>
        <v/>
      </c>
      <c r="DB20" s="55" t="str">
        <f t="shared" si="0"/>
        <v/>
      </c>
      <c r="DC20" s="55" t="str">
        <f t="shared" si="0"/>
        <v/>
      </c>
      <c r="DD20" s="55" t="str">
        <f t="shared" si="0"/>
        <v/>
      </c>
      <c r="DE20" s="55">
        <f>IF(SQRT(CA20^2+CP20^2)=0,"",SQRT(CA20^2+CP20^2))*14</f>
        <v>106.62082348209472</v>
      </c>
      <c r="DF20" s="55">
        <f>IF(SQRT(CB20^2+CQ20^2)=0,"",SQRT(CB20^2+CQ20^2))*14</f>
        <v>81.633326527834214</v>
      </c>
      <c r="DG20" s="55" t="str">
        <f t="shared" si="0"/>
        <v/>
      </c>
      <c r="DH20" s="55" t="str">
        <f t="shared" si="0"/>
        <v/>
      </c>
      <c r="DI20" s="55" t="str">
        <f t="shared" si="0"/>
        <v/>
      </c>
    </row>
    <row r="21" spans="58:113" ht="31" customHeight="1" x14ac:dyDescent="0.2">
      <c r="BJ21" s="29" t="s">
        <v>16</v>
      </c>
      <c r="BK21" s="29">
        <v>25</v>
      </c>
      <c r="BL21" s="29">
        <v>9</v>
      </c>
      <c r="BM21" s="30"/>
      <c r="BN21" s="30"/>
      <c r="BR21" s="31" t="s">
        <v>19</v>
      </c>
      <c r="BS21" s="27"/>
      <c r="BT21" s="27"/>
      <c r="BU21" s="27"/>
      <c r="BV21" s="27"/>
      <c r="BW21" s="27"/>
      <c r="BX21" s="27"/>
      <c r="BY21" s="27"/>
      <c r="BZ21" s="27"/>
      <c r="CA21" s="27"/>
      <c r="CB21" s="27">
        <f t="shared" si="12"/>
        <v>10</v>
      </c>
      <c r="CC21" s="27"/>
      <c r="CD21" s="27"/>
      <c r="CE21" s="27"/>
      <c r="CG21" s="31" t="s">
        <v>19</v>
      </c>
      <c r="CH21" s="57"/>
      <c r="CI21" s="56"/>
      <c r="CJ21" s="56"/>
      <c r="CK21" s="56"/>
      <c r="CL21" s="56"/>
      <c r="CM21" s="56"/>
      <c r="CN21" s="56"/>
      <c r="CO21" s="56"/>
      <c r="CP21" s="56"/>
      <c r="CQ21" s="34">
        <f>ABS(IF(CB36&gt;0,VLOOKUP(CQ$12,$BJ$14:$BL$26,3,FALSE)-VLOOKUP($BR21,$BJ$14:$BL$26,3,FALSE),""))</f>
        <v>2</v>
      </c>
      <c r="CR21" s="56"/>
      <c r="CS21" s="56"/>
      <c r="CT21" s="56"/>
      <c r="CV21" s="31" t="s">
        <v>19</v>
      </c>
      <c r="CW21" s="55" t="str">
        <f t="shared" si="5"/>
        <v/>
      </c>
      <c r="CX21" s="55" t="str">
        <f t="shared" si="4"/>
        <v/>
      </c>
      <c r="CY21" s="55" t="str">
        <f t="shared" si="4"/>
        <v/>
      </c>
      <c r="CZ21" s="55" t="str">
        <f t="shared" si="0"/>
        <v/>
      </c>
      <c r="DA21" s="55" t="str">
        <f t="shared" si="0"/>
        <v/>
      </c>
      <c r="DB21" s="55" t="str">
        <f t="shared" si="0"/>
        <v/>
      </c>
      <c r="DC21" s="55" t="str">
        <f t="shared" si="0"/>
        <v/>
      </c>
      <c r="DD21" s="55" t="str">
        <f t="shared" si="0"/>
        <v/>
      </c>
      <c r="DE21" s="55" t="str">
        <f t="shared" si="0"/>
        <v/>
      </c>
      <c r="DF21" s="55">
        <f>IF(SQRT(CB21^2+CQ21^2)=0,"",SQRT(CB21^2+CQ21^2))*14</f>
        <v>142.77254638059796</v>
      </c>
      <c r="DG21" s="55" t="str">
        <f t="shared" si="0"/>
        <v/>
      </c>
      <c r="DH21" s="55" t="str">
        <f t="shared" si="0"/>
        <v/>
      </c>
      <c r="DI21" s="55" t="str">
        <f t="shared" si="0"/>
        <v/>
      </c>
    </row>
    <row r="22" spans="58:113" ht="31" customHeight="1" x14ac:dyDescent="0.2">
      <c r="BJ22" s="29" t="s">
        <v>15</v>
      </c>
      <c r="BK22" s="29">
        <v>30</v>
      </c>
      <c r="BL22" s="29">
        <v>7</v>
      </c>
      <c r="BM22" s="30"/>
      <c r="BN22" s="30"/>
      <c r="BR22" s="31" t="s">
        <v>20</v>
      </c>
      <c r="BS22" s="27"/>
      <c r="BT22" s="27"/>
      <c r="BU22" s="27"/>
      <c r="BV22" s="27"/>
      <c r="BW22" s="27"/>
      <c r="BX22" s="27"/>
      <c r="BY22" s="27"/>
      <c r="BZ22" s="27"/>
      <c r="CA22" s="27">
        <f t="shared" ref="CA22" si="14">ABS(IF(CA37&gt;0,VLOOKUP(CA$12,$BJ$14:$BK$26,2,FALSE)-VLOOKUP($BR22,$BJ$14:$BK$26,2,FALSE),""))</f>
        <v>10</v>
      </c>
      <c r="CB22" s="27"/>
      <c r="CC22" s="27"/>
      <c r="CD22" s="27"/>
      <c r="CE22" s="27"/>
      <c r="CG22" s="31" t="s">
        <v>20</v>
      </c>
      <c r="CH22" s="57"/>
      <c r="CI22" s="56"/>
      <c r="CJ22" s="56"/>
      <c r="CK22" s="56"/>
      <c r="CL22" s="56"/>
      <c r="CM22" s="56"/>
      <c r="CN22" s="56"/>
      <c r="CO22" s="56"/>
      <c r="CP22" s="34">
        <f>ABS(IF(CA37&gt;0,VLOOKUP(CP$12,$BJ$14:$BL$26,3,FALSE)-VLOOKUP($BR22,$BJ$14:$BL$26,3,FALSE),""))</f>
        <v>2</v>
      </c>
      <c r="CQ22" s="56"/>
      <c r="CR22" s="56"/>
      <c r="CS22" s="56"/>
      <c r="CT22" s="56"/>
      <c r="CV22" s="31" t="s">
        <v>20</v>
      </c>
      <c r="CW22" s="55" t="str">
        <f t="shared" si="5"/>
        <v/>
      </c>
      <c r="CX22" s="55" t="str">
        <f t="shared" si="4"/>
        <v/>
      </c>
      <c r="CY22" s="55" t="str">
        <f t="shared" si="4"/>
        <v/>
      </c>
      <c r="CZ22" s="55" t="str">
        <f t="shared" si="0"/>
        <v/>
      </c>
      <c r="DA22" s="55" t="str">
        <f t="shared" si="0"/>
        <v/>
      </c>
      <c r="DB22" s="55" t="str">
        <f t="shared" si="0"/>
        <v/>
      </c>
      <c r="DC22" s="55" t="str">
        <f t="shared" si="0"/>
        <v/>
      </c>
      <c r="DD22" s="55" t="str">
        <f t="shared" si="0"/>
        <v/>
      </c>
      <c r="DE22" s="55">
        <f>IF(SQRT(CA22^2+CP22^2)=0,"",SQRT(CA22^2+CP22^2))*14</f>
        <v>142.77254638059796</v>
      </c>
      <c r="DF22" s="55" t="str">
        <f t="shared" si="0"/>
        <v/>
      </c>
      <c r="DG22" s="55" t="str">
        <f t="shared" si="0"/>
        <v/>
      </c>
      <c r="DH22" s="55" t="str">
        <f t="shared" si="0"/>
        <v/>
      </c>
      <c r="DI22" s="55" t="str">
        <f t="shared" si="0"/>
        <v/>
      </c>
    </row>
    <row r="23" spans="58:113" ht="31" customHeight="1" x14ac:dyDescent="0.2">
      <c r="BJ23" s="29" t="s">
        <v>11</v>
      </c>
      <c r="BK23" s="29">
        <v>0</v>
      </c>
      <c r="BL23" s="29">
        <v>2</v>
      </c>
      <c r="BM23" s="30"/>
      <c r="BN23" s="30"/>
      <c r="BR23" s="31" t="s">
        <v>21</v>
      </c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>
        <f t="shared" ref="CD23:CE23" si="15">ABS(IF(CD38&gt;0,VLOOKUP(CD$12,$BJ$14:$BK$26,2,FALSE)-VLOOKUP($BR23,$BJ$14:$BK$26,2,FALSE),""))</f>
        <v>0.5</v>
      </c>
      <c r="CE23" s="27">
        <f t="shared" si="15"/>
        <v>12</v>
      </c>
      <c r="CG23" s="31" t="s">
        <v>21</v>
      </c>
      <c r="CH23" s="57"/>
      <c r="CI23" s="56"/>
      <c r="CJ23" s="56"/>
      <c r="CK23" s="56"/>
      <c r="CL23" s="56"/>
      <c r="CM23" s="56"/>
      <c r="CN23" s="56"/>
      <c r="CO23" s="56"/>
      <c r="CP23" s="56"/>
      <c r="CQ23" s="56"/>
      <c r="CR23" s="56"/>
      <c r="CS23" s="34">
        <f t="shared" ref="CS23:CT23" si="16">ABS(IF(CD38&gt;0,VLOOKUP(CS$12,$BJ$14:$BL$26,3,FALSE)-VLOOKUP($BR23,$BJ$14:$BL$26,3,FALSE),""))</f>
        <v>5</v>
      </c>
      <c r="CT23" s="34">
        <f t="shared" si="16"/>
        <v>18</v>
      </c>
      <c r="CV23" s="31" t="s">
        <v>21</v>
      </c>
      <c r="CW23" s="55" t="str">
        <f t="shared" si="5"/>
        <v/>
      </c>
      <c r="CX23" s="55" t="str">
        <f t="shared" si="4"/>
        <v/>
      </c>
      <c r="CY23" s="55" t="str">
        <f t="shared" si="4"/>
        <v/>
      </c>
      <c r="CZ23" s="55" t="str">
        <f t="shared" si="0"/>
        <v/>
      </c>
      <c r="DA23" s="55" t="str">
        <f t="shared" si="0"/>
        <v/>
      </c>
      <c r="DB23" s="55" t="str">
        <f t="shared" si="0"/>
        <v/>
      </c>
      <c r="DC23" s="55" t="str">
        <f t="shared" si="0"/>
        <v/>
      </c>
      <c r="DD23" s="55" t="str">
        <f t="shared" si="0"/>
        <v/>
      </c>
      <c r="DE23" s="55" t="str">
        <f t="shared" si="0"/>
        <v/>
      </c>
      <c r="DF23" s="55" t="str">
        <f t="shared" si="0"/>
        <v/>
      </c>
      <c r="DG23" s="55" t="str">
        <f t="shared" si="0"/>
        <v/>
      </c>
      <c r="DH23" s="55">
        <f>IF(SQRT(CD23^2+CS23^2)=0,"",SQRT(CD23^2+CS23^2))*14</f>
        <v>70.34912934784623</v>
      </c>
      <c r="DI23" s="55">
        <f>IF(SQRT(CE23^2+CT23^2)=0,"",SQRT(CE23^2+CT23^2))*14</f>
        <v>302.86630713897512</v>
      </c>
    </row>
    <row r="24" spans="58:113" ht="31" customHeight="1" x14ac:dyDescent="0.2">
      <c r="BJ24" s="29" t="s">
        <v>17</v>
      </c>
      <c r="BK24" s="29">
        <v>16</v>
      </c>
      <c r="BL24" s="29">
        <v>9</v>
      </c>
      <c r="BM24" s="30"/>
      <c r="BN24" s="30"/>
      <c r="BR24" s="31" t="s">
        <v>22</v>
      </c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>
        <f t="shared" ref="CC24:CE24" si="17">ABS(IF(CC39&gt;0,VLOOKUP(CC$12,$BJ$14:$BK$26,2,FALSE)-VLOOKUP($BR24,$BJ$14:$BK$26,2,FALSE),""))</f>
        <v>0.5</v>
      </c>
      <c r="CD24" s="27"/>
      <c r="CE24" s="27">
        <f t="shared" si="17"/>
        <v>12.5</v>
      </c>
      <c r="CG24" s="31" t="s">
        <v>22</v>
      </c>
      <c r="CH24" s="57"/>
      <c r="CI24" s="56"/>
      <c r="CJ24" s="56"/>
      <c r="CK24" s="56"/>
      <c r="CL24" s="56"/>
      <c r="CM24" s="56"/>
      <c r="CN24" s="56"/>
      <c r="CO24" s="56"/>
      <c r="CP24" s="56"/>
      <c r="CQ24" s="56"/>
      <c r="CR24" s="34">
        <f>ABS(IF(CC39&gt;0,VLOOKUP(CR$12,$BJ$14:$BL$26,3,FALSE)-VLOOKUP($BR24,$BJ$14:$BL$26,3,FALSE),""))</f>
        <v>5</v>
      </c>
      <c r="CS24" s="56"/>
      <c r="CT24" s="34">
        <f>ABS(IF(CE39&gt;0,VLOOKUP(CT$12,$BJ$14:$BL$26,3,FALSE)-VLOOKUP($BR24,$BJ$14:$BL$26,3,FALSE),""))</f>
        <v>23</v>
      </c>
      <c r="CV24" s="31" t="s">
        <v>22</v>
      </c>
      <c r="CW24" s="55" t="str">
        <f t="shared" si="5"/>
        <v/>
      </c>
      <c r="CX24" s="55" t="str">
        <f t="shared" si="4"/>
        <v/>
      </c>
      <c r="CY24" s="55" t="str">
        <f t="shared" si="4"/>
        <v/>
      </c>
      <c r="CZ24" s="55" t="str">
        <f t="shared" si="0"/>
        <v/>
      </c>
      <c r="DA24" s="55" t="str">
        <f t="shared" si="0"/>
        <v/>
      </c>
      <c r="DB24" s="55" t="str">
        <f t="shared" si="0"/>
        <v/>
      </c>
      <c r="DC24" s="55" t="str">
        <f t="shared" si="0"/>
        <v/>
      </c>
      <c r="DD24" s="55" t="str">
        <f t="shared" si="0"/>
        <v/>
      </c>
      <c r="DE24" s="55" t="str">
        <f t="shared" si="0"/>
        <v/>
      </c>
      <c r="DF24" s="55" t="str">
        <f t="shared" si="0"/>
        <v/>
      </c>
      <c r="DG24" s="55">
        <f>IF(SQRT(CC24^2+CR24^2)=0,"",SQRT(CC24^2+CR24^2))*14</f>
        <v>70.34912934784623</v>
      </c>
      <c r="DH24" s="55" t="str">
        <f t="shared" si="0"/>
        <v/>
      </c>
      <c r="DI24" s="55">
        <f>IF(SQRT(CE24^2+CT24^2)=0,"",SQRT(CE24^2+CT24^2))*14</f>
        <v>366.48192315583589</v>
      </c>
    </row>
    <row r="25" spans="58:113" ht="31" customHeight="1" x14ac:dyDescent="0.2">
      <c r="BJ25" s="29" t="s">
        <v>13</v>
      </c>
      <c r="BK25" s="29">
        <v>8.5</v>
      </c>
      <c r="BL25" s="29">
        <v>1</v>
      </c>
      <c r="BM25" s="30"/>
      <c r="BN25" s="30"/>
      <c r="BR25" s="31" t="s">
        <v>23</v>
      </c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>
        <f t="shared" ref="CD25" si="18">ABS(IF(CD40&gt;0,VLOOKUP(CD$12,$BJ$14:$BK$26,2,FALSE)-VLOOKUP($BR25,$BJ$14:$BK$26,2,FALSE),""))</f>
        <v>12.5</v>
      </c>
      <c r="CE25" s="27"/>
      <c r="CG25" s="31" t="s">
        <v>23</v>
      </c>
      <c r="CH25" s="57"/>
      <c r="CI25" s="56"/>
      <c r="CJ25" s="56"/>
      <c r="CK25" s="56"/>
      <c r="CL25" s="56"/>
      <c r="CM25" s="56"/>
      <c r="CN25" s="56"/>
      <c r="CO25" s="56"/>
      <c r="CP25" s="56"/>
      <c r="CQ25" s="56"/>
      <c r="CR25" s="56"/>
      <c r="CS25" s="34">
        <f>ABS(IF(CD40&gt;0,VLOOKUP(CS$12,$BJ$14:$BL$26,3,FALSE)-VLOOKUP($BR25,$BJ$14:$BL$26,3,FALSE),""))</f>
        <v>23</v>
      </c>
      <c r="CT25" s="56"/>
      <c r="CV25" s="31" t="s">
        <v>23</v>
      </c>
      <c r="CW25" s="55" t="str">
        <f t="shared" si="5"/>
        <v/>
      </c>
      <c r="CX25" s="55" t="str">
        <f t="shared" si="4"/>
        <v/>
      </c>
      <c r="CY25" s="55" t="str">
        <f t="shared" si="4"/>
        <v/>
      </c>
      <c r="CZ25" s="55" t="str">
        <f t="shared" si="0"/>
        <v/>
      </c>
      <c r="DA25" s="55" t="str">
        <f t="shared" si="0"/>
        <v/>
      </c>
      <c r="DB25" s="55" t="str">
        <f t="shared" si="0"/>
        <v/>
      </c>
      <c r="DC25" s="55" t="str">
        <f t="shared" si="0"/>
        <v/>
      </c>
      <c r="DD25" s="55" t="str">
        <f t="shared" si="0"/>
        <v/>
      </c>
      <c r="DE25" s="55" t="str">
        <f t="shared" si="0"/>
        <v/>
      </c>
      <c r="DF25" s="55" t="str">
        <f t="shared" si="0"/>
        <v/>
      </c>
      <c r="DG25" s="55" t="str">
        <f t="shared" si="0"/>
        <v/>
      </c>
      <c r="DH25" s="55">
        <f>IF(SQRT(CD25^2+CS25^2)=0,"",SQRT(CD25^2+CS25^2))*14</f>
        <v>366.48192315583589</v>
      </c>
      <c r="DI25" s="55" t="str">
        <f t="shared" si="0"/>
        <v/>
      </c>
    </row>
    <row r="26" spans="58:113" ht="31" customHeight="1" x14ac:dyDescent="0.2">
      <c r="BF26" s="19">
        <v>13</v>
      </c>
      <c r="BJ26" s="29" t="s">
        <v>21</v>
      </c>
      <c r="BK26" s="29">
        <v>19</v>
      </c>
      <c r="BL26" s="29">
        <v>13</v>
      </c>
      <c r="BM26" s="30"/>
      <c r="BN26" s="30"/>
      <c r="BR26" s="19" t="s">
        <v>26</v>
      </c>
    </row>
    <row r="27" spans="58:113" ht="31" customHeight="1" x14ac:dyDescent="0.2">
      <c r="BR27" s="24"/>
      <c r="BS27" s="25" t="s">
        <v>11</v>
      </c>
      <c r="BT27" s="25" t="s">
        <v>12</v>
      </c>
      <c r="BU27" s="25" t="s">
        <v>13</v>
      </c>
      <c r="BV27" s="25" t="s">
        <v>14</v>
      </c>
      <c r="BW27" s="25" t="s">
        <v>15</v>
      </c>
      <c r="BX27" s="25" t="s">
        <v>16</v>
      </c>
      <c r="BY27" s="25" t="s">
        <v>17</v>
      </c>
      <c r="BZ27" s="25" t="s">
        <v>18</v>
      </c>
      <c r="CA27" s="25" t="s">
        <v>19</v>
      </c>
      <c r="CB27" s="25" t="s">
        <v>20</v>
      </c>
      <c r="CC27" s="25" t="s">
        <v>21</v>
      </c>
      <c r="CD27" s="25" t="s">
        <v>22</v>
      </c>
      <c r="CE27" s="25" t="s">
        <v>23</v>
      </c>
      <c r="CG27" s="24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5"/>
      <c r="CS27" s="25"/>
      <c r="CT27" s="25"/>
    </row>
    <row r="28" spans="58:113" ht="31" customHeight="1" x14ac:dyDescent="0.2">
      <c r="BR28" s="26" t="s">
        <v>11</v>
      </c>
      <c r="BS28" s="28"/>
      <c r="BT28" s="27">
        <v>4038.4615384614663</v>
      </c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G28" s="26"/>
      <c r="CH28" s="28" t="s">
        <v>27</v>
      </c>
      <c r="CI28" s="27"/>
      <c r="CJ28" s="27"/>
      <c r="CK28" s="34">
        <f>SUMPRODUCT(BS28:CE40,CW13:DI25)</f>
        <v>75889492.554550245</v>
      </c>
      <c r="CL28" s="27"/>
      <c r="CM28" s="27"/>
      <c r="CN28" s="27"/>
      <c r="CO28" s="27"/>
      <c r="CP28" s="27"/>
      <c r="CQ28" s="27"/>
      <c r="CR28" s="27"/>
      <c r="CS28" s="27"/>
      <c r="CT28" s="27"/>
    </row>
    <row r="29" spans="58:113" ht="31" customHeight="1" x14ac:dyDescent="0.2">
      <c r="BR29" s="31" t="s">
        <v>12</v>
      </c>
      <c r="BS29" s="33"/>
      <c r="BT29" s="32"/>
      <c r="BU29" s="32">
        <v>10961.538461538399</v>
      </c>
      <c r="BV29" s="32">
        <v>6153.8461538461688</v>
      </c>
      <c r="BW29" s="32"/>
      <c r="BX29" s="32"/>
      <c r="BY29" s="32"/>
      <c r="BZ29" s="32"/>
      <c r="CA29" s="32"/>
      <c r="CB29" s="32"/>
      <c r="CC29" s="32"/>
      <c r="CD29" s="32"/>
      <c r="CE29" s="32"/>
      <c r="CG29" s="31"/>
      <c r="CH29" s="33" t="s">
        <v>28</v>
      </c>
      <c r="CI29" s="32"/>
      <c r="CJ29" s="32"/>
      <c r="CK29" s="32">
        <f>SUM(BS28:CE40)</f>
        <v>478461.53846153797</v>
      </c>
      <c r="CL29" s="32"/>
      <c r="CM29" s="32"/>
      <c r="CN29" s="32"/>
      <c r="CO29" s="32"/>
      <c r="CP29" s="32"/>
      <c r="CQ29" s="32"/>
      <c r="CR29" s="32"/>
      <c r="CS29" s="32"/>
      <c r="CT29" s="32"/>
    </row>
    <row r="30" spans="58:113" ht="31" customHeight="1" x14ac:dyDescent="0.2">
      <c r="BR30" s="31" t="s">
        <v>13</v>
      </c>
      <c r="BS30" s="33"/>
      <c r="BT30" s="32"/>
      <c r="BU30" s="32">
        <v>0</v>
      </c>
      <c r="BV30" s="32">
        <v>10961.538461538403</v>
      </c>
      <c r="BW30" s="32"/>
      <c r="BX30" s="32"/>
      <c r="BY30" s="32"/>
      <c r="BZ30" s="32"/>
      <c r="CA30" s="32">
        <v>6153.8461538461497</v>
      </c>
      <c r="CB30" s="32"/>
      <c r="CC30" s="32"/>
      <c r="CD30" s="32"/>
      <c r="CE30" s="32"/>
      <c r="CG30" s="31"/>
      <c r="CH30" s="33" t="s">
        <v>29</v>
      </c>
      <c r="CI30" s="32"/>
      <c r="CJ30" s="32"/>
      <c r="CK30" s="35">
        <f>CK28/CK29</f>
        <v>158.61147961561966</v>
      </c>
      <c r="CL30" s="32"/>
      <c r="CM30" s="32"/>
      <c r="CN30" s="32"/>
      <c r="CO30" s="32"/>
      <c r="CP30" s="32"/>
      <c r="CQ30" s="32"/>
      <c r="CR30" s="32"/>
      <c r="CS30" s="32"/>
      <c r="CT30" s="32"/>
    </row>
    <row r="31" spans="58:113" ht="31" customHeight="1" x14ac:dyDescent="0.2">
      <c r="BR31" s="31" t="s">
        <v>14</v>
      </c>
      <c r="BS31" s="33"/>
      <c r="BT31" s="32"/>
      <c r="BU31" s="32">
        <v>6153.8461538461497</v>
      </c>
      <c r="BV31" s="32"/>
      <c r="BW31" s="32"/>
      <c r="BX31" s="32"/>
      <c r="BY31" s="32"/>
      <c r="BZ31" s="32">
        <v>4038.4615384615008</v>
      </c>
      <c r="CA31" s="32">
        <v>6923.0769230769001</v>
      </c>
      <c r="CB31" s="32"/>
      <c r="CC31" s="32"/>
      <c r="CD31" s="32"/>
      <c r="CE31" s="32"/>
      <c r="CG31" s="31"/>
      <c r="CH31" s="33"/>
      <c r="CI31" s="32"/>
      <c r="CJ31" s="32"/>
      <c r="CK31" s="32"/>
      <c r="CL31" s="32"/>
      <c r="CM31" s="32"/>
      <c r="CN31" s="32"/>
      <c r="CO31" s="32"/>
      <c r="CP31" s="32"/>
      <c r="CQ31" s="32"/>
      <c r="CR31" s="32"/>
      <c r="CS31" s="32"/>
      <c r="CT31" s="32"/>
    </row>
    <row r="32" spans="58:113" ht="31" customHeight="1" x14ac:dyDescent="0.2">
      <c r="BR32" s="31" t="s">
        <v>15</v>
      </c>
      <c r="BS32" s="33"/>
      <c r="BT32" s="32"/>
      <c r="BU32" s="32"/>
      <c r="BV32" s="32"/>
      <c r="BW32" s="32"/>
      <c r="BX32" s="32">
        <v>27692.307692307702</v>
      </c>
      <c r="BY32" s="32">
        <v>37307.692307692298</v>
      </c>
      <c r="BZ32" s="32">
        <v>4615.3846153846198</v>
      </c>
      <c r="CA32" s="32"/>
      <c r="CB32" s="32"/>
      <c r="CC32" s="32"/>
      <c r="CD32" s="32"/>
      <c r="CE32" s="32"/>
      <c r="CG32" s="31"/>
      <c r="CH32" s="33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  <c r="CT32" s="32"/>
    </row>
    <row r="33" spans="70:98" ht="31" customHeight="1" x14ac:dyDescent="0.2">
      <c r="BR33" s="31" t="s">
        <v>16</v>
      </c>
      <c r="BS33" s="33"/>
      <c r="BT33" s="32"/>
      <c r="BU33" s="32"/>
      <c r="BV33" s="32"/>
      <c r="BW33" s="32"/>
      <c r="BX33" s="32"/>
      <c r="BY33" s="32">
        <v>36923.0769230769</v>
      </c>
      <c r="BZ33" s="32">
        <v>14230.7692307692</v>
      </c>
      <c r="CA33" s="32">
        <v>14615.384615384601</v>
      </c>
      <c r="CB33" s="32"/>
      <c r="CC33" s="32"/>
      <c r="CD33" s="32"/>
      <c r="CE33" s="32"/>
      <c r="CG33" s="31"/>
      <c r="CH33" s="33"/>
      <c r="CI33" s="32"/>
      <c r="CJ33" s="32"/>
      <c r="CK33" s="32"/>
      <c r="CL33" s="32"/>
      <c r="CM33" s="32"/>
      <c r="CN33" s="32"/>
      <c r="CO33" s="32"/>
      <c r="CP33" s="32"/>
      <c r="CQ33" s="32"/>
      <c r="CR33" s="32"/>
      <c r="CS33" s="32"/>
      <c r="CT33" s="32"/>
    </row>
    <row r="34" spans="70:98" ht="31" customHeight="1" x14ac:dyDescent="0.2">
      <c r="BR34" s="31" t="s">
        <v>17</v>
      </c>
      <c r="BS34" s="33"/>
      <c r="BT34" s="32"/>
      <c r="BU34" s="32"/>
      <c r="BV34" s="32"/>
      <c r="BW34" s="32">
        <v>16923.0769230769</v>
      </c>
      <c r="BX34" s="32">
        <v>17307.692307692301</v>
      </c>
      <c r="BY34" s="32"/>
      <c r="BZ34" s="32">
        <v>23076.923076923071</v>
      </c>
      <c r="CA34" s="32">
        <v>16923.0769230769</v>
      </c>
      <c r="CB34" s="32"/>
      <c r="CC34" s="32"/>
      <c r="CD34" s="32"/>
      <c r="CE34" s="32"/>
      <c r="CG34" s="31"/>
      <c r="CH34" s="33"/>
      <c r="CI34" s="32"/>
      <c r="CJ34" s="32"/>
      <c r="CK34" s="32"/>
      <c r="CL34" s="32"/>
      <c r="CM34" s="32"/>
      <c r="CN34" s="32"/>
      <c r="CO34" s="32"/>
      <c r="CP34" s="32"/>
      <c r="CQ34" s="32"/>
      <c r="CR34" s="32"/>
      <c r="CS34" s="32"/>
      <c r="CT34" s="32"/>
    </row>
    <row r="35" spans="70:98" ht="31" customHeight="1" x14ac:dyDescent="0.2">
      <c r="BR35" s="31" t="s">
        <v>18</v>
      </c>
      <c r="BS35" s="33"/>
      <c r="BT35" s="32"/>
      <c r="BU35" s="32"/>
      <c r="BV35" s="32"/>
      <c r="BW35" s="32"/>
      <c r="BX35" s="32"/>
      <c r="BY35" s="32"/>
      <c r="BZ35" s="32"/>
      <c r="CA35" s="32">
        <v>20961.538461538501</v>
      </c>
      <c r="CB35" s="32">
        <v>6923.0769230769001</v>
      </c>
      <c r="CC35" s="32"/>
      <c r="CD35" s="32"/>
      <c r="CE35" s="32"/>
      <c r="CG35" s="31"/>
      <c r="CH35" s="33"/>
      <c r="CI35" s="32"/>
      <c r="CJ35" s="32"/>
      <c r="CK35" s="32"/>
      <c r="CL35" s="32"/>
      <c r="CM35" s="32"/>
      <c r="CN35" s="32"/>
      <c r="CO35" s="32"/>
      <c r="CP35" s="32"/>
      <c r="CQ35" s="32"/>
      <c r="CR35" s="32"/>
      <c r="CS35" s="32"/>
      <c r="CT35" s="32"/>
    </row>
    <row r="36" spans="70:98" ht="31" customHeight="1" x14ac:dyDescent="0.2">
      <c r="BR36" s="31" t="s">
        <v>19</v>
      </c>
      <c r="BS36" s="33"/>
      <c r="BT36" s="32"/>
      <c r="BU36" s="32"/>
      <c r="BV36" s="32"/>
      <c r="BW36" s="32"/>
      <c r="BX36" s="32"/>
      <c r="BY36" s="32"/>
      <c r="BZ36" s="32"/>
      <c r="CA36" s="32"/>
      <c r="CB36" s="32">
        <v>45576.923076923107</v>
      </c>
      <c r="CC36" s="32"/>
      <c r="CD36" s="32"/>
      <c r="CE36" s="32"/>
      <c r="CG36" s="31"/>
      <c r="CH36" s="33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32"/>
      <c r="CT36" s="32"/>
    </row>
    <row r="37" spans="70:98" ht="31" customHeight="1" x14ac:dyDescent="0.2">
      <c r="BR37" s="31" t="s">
        <v>20</v>
      </c>
      <c r="BS37" s="33"/>
      <c r="BT37" s="32"/>
      <c r="BU37" s="32"/>
      <c r="BV37" s="32"/>
      <c r="BW37" s="32"/>
      <c r="BX37" s="32"/>
      <c r="BY37" s="32"/>
      <c r="BZ37" s="32"/>
      <c r="CA37" s="32">
        <v>4615.3846153846198</v>
      </c>
      <c r="CB37" s="32"/>
      <c r="CC37" s="32"/>
      <c r="CD37" s="32"/>
      <c r="CE37" s="32"/>
      <c r="CG37" s="31"/>
      <c r="CH37" s="33"/>
      <c r="CI37" s="32"/>
      <c r="CJ37" s="32"/>
      <c r="CK37" s="32"/>
      <c r="CL37" s="32"/>
      <c r="CM37" s="32"/>
      <c r="CN37" s="32"/>
      <c r="CO37" s="32"/>
      <c r="CP37" s="32"/>
      <c r="CQ37" s="32"/>
      <c r="CR37" s="32"/>
      <c r="CS37" s="32"/>
      <c r="CT37" s="32"/>
    </row>
    <row r="38" spans="70:98" ht="31" customHeight="1" x14ac:dyDescent="0.2">
      <c r="BR38" s="31" t="s">
        <v>21</v>
      </c>
      <c r="BS38" s="33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>
        <v>16923.0769230769</v>
      </c>
      <c r="CE38" s="32">
        <v>26730.769230769201</v>
      </c>
      <c r="CG38" s="31"/>
      <c r="CH38" s="33"/>
      <c r="CI38" s="32"/>
      <c r="CJ38" s="32"/>
      <c r="CK38" s="32"/>
      <c r="CL38" s="32"/>
      <c r="CM38" s="32"/>
      <c r="CN38" s="32"/>
      <c r="CO38" s="32"/>
      <c r="CP38" s="32"/>
      <c r="CQ38" s="32"/>
      <c r="CR38" s="32"/>
      <c r="CS38" s="32"/>
      <c r="CT38" s="32"/>
    </row>
    <row r="39" spans="70:98" ht="31" customHeight="1" x14ac:dyDescent="0.2">
      <c r="BR39" s="31" t="s">
        <v>22</v>
      </c>
      <c r="BS39" s="33"/>
      <c r="BT39" s="32"/>
      <c r="BU39" s="32"/>
      <c r="BV39" s="32"/>
      <c r="BW39" s="32"/>
      <c r="BX39" s="32"/>
      <c r="BY39" s="32"/>
      <c r="BZ39" s="32"/>
      <c r="CA39" s="32"/>
      <c r="CB39" s="32"/>
      <c r="CC39" s="32">
        <v>26730.769230769201</v>
      </c>
      <c r="CD39" s="32"/>
      <c r="CE39" s="32">
        <v>45000</v>
      </c>
      <c r="CG39" s="31"/>
      <c r="CH39" s="33"/>
      <c r="CI39" s="32"/>
      <c r="CJ39" s="32"/>
      <c r="CK39" s="32"/>
      <c r="CL39" s="32"/>
      <c r="CM39" s="32"/>
      <c r="CN39" s="32"/>
      <c r="CO39" s="32"/>
      <c r="CP39" s="32"/>
      <c r="CQ39" s="32"/>
      <c r="CR39" s="32"/>
      <c r="CS39" s="32"/>
      <c r="CT39" s="32"/>
    </row>
    <row r="40" spans="70:98" ht="31" customHeight="1" x14ac:dyDescent="0.2">
      <c r="BR40" s="31" t="s">
        <v>23</v>
      </c>
      <c r="BS40" s="33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>
        <v>20000</v>
      </c>
      <c r="CE40" s="32"/>
      <c r="CG40" s="31"/>
      <c r="CH40" s="33"/>
      <c r="CI40" s="32"/>
      <c r="CJ40" s="32"/>
      <c r="CK40" s="32"/>
      <c r="CL40" s="32"/>
      <c r="CM40" s="32"/>
      <c r="CN40" s="32"/>
      <c r="CO40" s="32"/>
      <c r="CP40" s="32"/>
      <c r="CQ40" s="32"/>
      <c r="CR40" s="32"/>
      <c r="CS40" s="32"/>
      <c r="CT40" s="32"/>
    </row>
  </sheetData>
  <conditionalFormatting sqref="BS13:CE25">
    <cfRule type="colorScale" priority="24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BS28:CE40">
    <cfRule type="colorScale" priority="23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CH14">
    <cfRule type="colorScale" priority="18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CH25:CR25 CH13 CK13:CT13 CI14 CH15:CJ15 CL14:CT14 CL15:CO15 CH16:CI16 CQ15:CT16 CK16:CM16 CH17:CL17 CP17:CT17 CH18:CI18 CK18:CM18 CH19:CK19 CN19 CQ18:CT19 CH20:CO20 CH21:CP21 CR20:CT21 CH22:CO22 CQ22:CT22 CH23:CR23 CH24:CQ24 CS24 CT25">
    <cfRule type="colorScale" priority="22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CH28:CT40">
    <cfRule type="colorScale" priority="20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CI13:CJ13">
    <cfRule type="colorScale" priority="19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CJ16">
    <cfRule type="colorScale" priority="13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CJ18">
    <cfRule type="colorScale" priority="10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CJ14:CK14">
    <cfRule type="colorScale" priority="17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CK15">
    <cfRule type="colorScale" priority="16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CL19:CM19">
    <cfRule type="colorScale" priority="9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CM17:CO17">
    <cfRule type="colorScale" priority="12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CN16:CP16">
    <cfRule type="colorScale" priority="14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CN18:CP18">
    <cfRule type="colorScale" priority="11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CO19:CP19">
    <cfRule type="colorScale" priority="8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CP15">
    <cfRule type="colorScale" priority="15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CP22">
    <cfRule type="colorScale" priority="5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CP20:CQ20">
    <cfRule type="colorScale" priority="7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CQ21">
    <cfRule type="colorScale" priority="6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CR24">
    <cfRule type="colorScale" priority="3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CS25">
    <cfRule type="colorScale" priority="1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CS23:CT23">
    <cfRule type="colorScale" priority="4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CT24">
    <cfRule type="colorScale" priority="2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conditionalFormatting sqref="CW13:DI25">
    <cfRule type="colorScale" priority="21">
      <colorScale>
        <cfvo type="min"/>
        <cfvo type="percentile" val="50"/>
        <cfvo type="max"/>
        <color rgb="FFFF0000"/>
        <color rgb="FFFFEB84"/>
        <color theme="6" tint="-0.499984740745262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ECBA8-E000-4C42-889E-582C71C85157}">
  <dimension ref="B5:Q36"/>
  <sheetViews>
    <sheetView showGridLines="0" tabSelected="1" topLeftCell="A5" workbookViewId="0">
      <selection activeCell="F31" sqref="F31"/>
    </sheetView>
  </sheetViews>
  <sheetFormatPr baseColWidth="10" defaultRowHeight="13" x14ac:dyDescent="0.2"/>
  <cols>
    <col min="1" max="1" width="10.83203125" style="60"/>
    <col min="2" max="2" width="12.6640625" style="60" customWidth="1"/>
    <col min="3" max="3" width="10.83203125" style="60"/>
    <col min="4" max="4" width="12.1640625" style="60" bestFit="1" customWidth="1"/>
    <col min="5" max="5" width="13.6640625" style="60" bestFit="1" customWidth="1"/>
    <col min="6" max="6" width="12.1640625" style="60" bestFit="1" customWidth="1"/>
    <col min="7" max="16384" width="10.83203125" style="60"/>
  </cols>
  <sheetData>
    <row r="5" spans="2:17" ht="14" thickBot="1" x14ac:dyDescent="0.25"/>
    <row r="6" spans="2:17" ht="43" thickBot="1" x14ac:dyDescent="0.25">
      <c r="B6" s="61" t="s">
        <v>30</v>
      </c>
      <c r="P6" s="61" t="s">
        <v>31</v>
      </c>
    </row>
    <row r="8" spans="2:17" x14ac:dyDescent="0.2">
      <c r="P8" s="62" t="s">
        <v>32</v>
      </c>
      <c r="Q8" s="63" t="s">
        <v>33</v>
      </c>
    </row>
    <row r="9" spans="2:17" ht="28" x14ac:dyDescent="0.2">
      <c r="B9" s="64" t="s">
        <v>34</v>
      </c>
      <c r="C9" s="64" t="s">
        <v>35</v>
      </c>
      <c r="D9" s="64" t="s">
        <v>36</v>
      </c>
      <c r="E9" s="64" t="s">
        <v>37</v>
      </c>
      <c r="F9" s="64" t="s">
        <v>38</v>
      </c>
      <c r="P9" s="65"/>
      <c r="Q9" s="66"/>
    </row>
    <row r="10" spans="2:17" ht="14" x14ac:dyDescent="0.15">
      <c r="B10" s="64" t="s">
        <v>11</v>
      </c>
      <c r="C10" s="67">
        <v>16</v>
      </c>
      <c r="D10" s="68">
        <v>0.92800000000000005</v>
      </c>
      <c r="E10" s="69">
        <f>VLOOKUP(B:B,P:Q,2,0)</f>
        <v>150000</v>
      </c>
      <c r="F10" s="69">
        <f>E10*C10</f>
        <v>2400000</v>
      </c>
      <c r="P10" s="70" t="s">
        <v>11</v>
      </c>
      <c r="Q10" s="71">
        <v>150000</v>
      </c>
    </row>
    <row r="11" spans="2:17" ht="14" x14ac:dyDescent="0.15">
      <c r="B11" s="64" t="s">
        <v>12</v>
      </c>
      <c r="C11" s="67">
        <v>48</v>
      </c>
      <c r="D11" s="68">
        <v>0.98099999999999998</v>
      </c>
      <c r="E11" s="69">
        <f t="shared" ref="E11:E22" si="0">VLOOKUP(B:B,P:Q,2,0)</f>
        <v>200000</v>
      </c>
      <c r="F11" s="69">
        <f t="shared" ref="F11:F22" si="1">E11*C11</f>
        <v>9600000</v>
      </c>
      <c r="P11" s="70" t="s">
        <v>12</v>
      </c>
      <c r="Q11" s="71">
        <v>200000</v>
      </c>
    </row>
    <row r="12" spans="2:17" ht="14" x14ac:dyDescent="0.15">
      <c r="B12" s="64" t="s">
        <v>13</v>
      </c>
      <c r="C12" s="67">
        <v>16</v>
      </c>
      <c r="D12" s="68">
        <v>0.84499999999999997</v>
      </c>
      <c r="E12" s="69">
        <f t="shared" si="0"/>
        <v>250000</v>
      </c>
      <c r="F12" s="69">
        <f t="shared" si="1"/>
        <v>4000000</v>
      </c>
      <c r="P12" s="70" t="s">
        <v>13</v>
      </c>
      <c r="Q12" s="71">
        <v>250000</v>
      </c>
    </row>
    <row r="13" spans="2:17" ht="14" x14ac:dyDescent="0.15">
      <c r="B13" s="64" t="s">
        <v>14</v>
      </c>
      <c r="C13" s="67">
        <v>68</v>
      </c>
      <c r="D13" s="68">
        <v>0.98899999999999999</v>
      </c>
      <c r="E13" s="69">
        <f t="shared" si="0"/>
        <v>300000</v>
      </c>
      <c r="F13" s="69">
        <f t="shared" si="1"/>
        <v>20400000</v>
      </c>
      <c r="P13" s="70" t="s">
        <v>14</v>
      </c>
      <c r="Q13" s="71">
        <v>300000</v>
      </c>
    </row>
    <row r="14" spans="2:17" ht="14" x14ac:dyDescent="0.15">
      <c r="B14" s="64" t="s">
        <v>15</v>
      </c>
      <c r="C14" s="67">
        <v>32</v>
      </c>
      <c r="D14" s="68">
        <v>0.872</v>
      </c>
      <c r="E14" s="69">
        <f t="shared" si="0"/>
        <v>400000</v>
      </c>
      <c r="F14" s="69">
        <f t="shared" si="1"/>
        <v>12800000</v>
      </c>
      <c r="P14" s="70" t="s">
        <v>39</v>
      </c>
      <c r="Q14" s="71">
        <v>250000</v>
      </c>
    </row>
    <row r="15" spans="2:17" ht="14" x14ac:dyDescent="0.15">
      <c r="B15" s="64" t="s">
        <v>16</v>
      </c>
      <c r="C15" s="67">
        <v>36</v>
      </c>
      <c r="D15" s="68">
        <v>0.91500000000000004</v>
      </c>
      <c r="E15" s="69">
        <f t="shared" si="0"/>
        <v>400000</v>
      </c>
      <c r="F15" s="69">
        <f t="shared" si="1"/>
        <v>14400000</v>
      </c>
      <c r="K15" s="72"/>
      <c r="L15" s="72"/>
      <c r="M15" s="72"/>
      <c r="N15" s="72"/>
      <c r="P15" s="70" t="s">
        <v>40</v>
      </c>
      <c r="Q15" s="71">
        <v>280000</v>
      </c>
    </row>
    <row r="16" spans="2:17" ht="14" x14ac:dyDescent="0.15">
      <c r="B16" s="64" t="s">
        <v>17</v>
      </c>
      <c r="C16" s="67">
        <v>16</v>
      </c>
      <c r="D16" s="68">
        <v>0.73099999999999998</v>
      </c>
      <c r="E16" s="69">
        <f t="shared" si="0"/>
        <v>400000</v>
      </c>
      <c r="F16" s="69">
        <f t="shared" si="1"/>
        <v>6400000</v>
      </c>
      <c r="K16" s="73"/>
      <c r="L16" s="73"/>
      <c r="M16" s="73"/>
      <c r="N16" s="73"/>
      <c r="P16" s="70" t="s">
        <v>41</v>
      </c>
      <c r="Q16" s="71">
        <v>350000</v>
      </c>
    </row>
    <row r="17" spans="2:17" ht="14" x14ac:dyDescent="0.15">
      <c r="B17" s="64" t="s">
        <v>18</v>
      </c>
      <c r="C17" s="67">
        <v>48</v>
      </c>
      <c r="D17" s="68">
        <v>0.879</v>
      </c>
      <c r="E17" s="69">
        <f t="shared" si="0"/>
        <v>1000000</v>
      </c>
      <c r="F17" s="69">
        <f t="shared" si="1"/>
        <v>48000000</v>
      </c>
      <c r="K17" s="73"/>
      <c r="L17" s="73"/>
      <c r="M17" s="73"/>
      <c r="N17" s="73"/>
      <c r="P17" s="70" t="s">
        <v>42</v>
      </c>
      <c r="Q17" s="71">
        <v>300000</v>
      </c>
    </row>
    <row r="18" spans="2:17" ht="14" x14ac:dyDescent="0.15">
      <c r="B18" s="64" t="s">
        <v>19</v>
      </c>
      <c r="C18" s="67">
        <v>44</v>
      </c>
      <c r="D18" s="68">
        <v>0.93600000000000005</v>
      </c>
      <c r="E18" s="69">
        <f t="shared" si="0"/>
        <v>500000</v>
      </c>
      <c r="F18" s="69">
        <f t="shared" si="1"/>
        <v>22000000</v>
      </c>
      <c r="K18" s="73"/>
      <c r="L18" s="73"/>
      <c r="M18" s="73"/>
      <c r="N18" s="73"/>
      <c r="P18" s="70" t="s">
        <v>43</v>
      </c>
      <c r="Q18" s="71">
        <v>400000</v>
      </c>
    </row>
    <row r="19" spans="2:17" ht="14" x14ac:dyDescent="0.15">
      <c r="B19" s="64" t="s">
        <v>20</v>
      </c>
      <c r="C19" s="67">
        <v>76</v>
      </c>
      <c r="D19" s="68">
        <v>0.97199999999999998</v>
      </c>
      <c r="E19" s="69">
        <f t="shared" si="0"/>
        <v>500000</v>
      </c>
      <c r="F19" s="69">
        <f t="shared" si="1"/>
        <v>38000000</v>
      </c>
      <c r="K19" s="73"/>
      <c r="L19" s="73"/>
      <c r="M19" s="73"/>
      <c r="N19" s="73"/>
      <c r="P19" s="70" t="s">
        <v>15</v>
      </c>
      <c r="Q19" s="71">
        <v>400000</v>
      </c>
    </row>
    <row r="20" spans="2:17" ht="14" x14ac:dyDescent="0.15">
      <c r="B20" s="64" t="s">
        <v>21</v>
      </c>
      <c r="C20" s="67">
        <v>12</v>
      </c>
      <c r="D20" s="68">
        <v>0.82199999999999995</v>
      </c>
      <c r="E20" s="69">
        <f t="shared" si="0"/>
        <v>80000</v>
      </c>
      <c r="F20" s="69">
        <f t="shared" si="1"/>
        <v>960000</v>
      </c>
      <c r="K20" s="73"/>
      <c r="L20" s="73"/>
      <c r="M20" s="73"/>
      <c r="N20" s="73"/>
      <c r="P20" s="70" t="s">
        <v>16</v>
      </c>
      <c r="Q20" s="71">
        <v>400000</v>
      </c>
    </row>
    <row r="21" spans="2:17" ht="14" x14ac:dyDescent="0.15">
      <c r="B21" s="64" t="s">
        <v>22</v>
      </c>
      <c r="C21" s="67">
        <v>48</v>
      </c>
      <c r="D21" s="68">
        <v>0.94</v>
      </c>
      <c r="E21" s="69">
        <f t="shared" si="0"/>
        <v>100000</v>
      </c>
      <c r="F21" s="69">
        <f t="shared" si="1"/>
        <v>4800000</v>
      </c>
      <c r="K21" s="73"/>
      <c r="L21" s="73"/>
      <c r="M21" s="73"/>
      <c r="N21" s="73"/>
      <c r="P21" s="70" t="s">
        <v>17</v>
      </c>
      <c r="Q21" s="71">
        <v>400000</v>
      </c>
    </row>
    <row r="22" spans="2:17" ht="14" x14ac:dyDescent="0.15">
      <c r="B22" s="64" t="s">
        <v>23</v>
      </c>
      <c r="C22" s="67">
        <v>76</v>
      </c>
      <c r="D22" s="68">
        <v>0.98699999999999999</v>
      </c>
      <c r="E22" s="69">
        <f t="shared" si="0"/>
        <v>50000</v>
      </c>
      <c r="F22" s="69">
        <f t="shared" si="1"/>
        <v>3800000</v>
      </c>
      <c r="K22" s="73"/>
      <c r="L22" s="73"/>
      <c r="M22" s="73"/>
      <c r="N22" s="73"/>
      <c r="P22" s="70" t="s">
        <v>44</v>
      </c>
      <c r="Q22" s="71">
        <v>450000</v>
      </c>
    </row>
    <row r="23" spans="2:17" ht="14" x14ac:dyDescent="0.15">
      <c r="B23" s="64" t="s">
        <v>45</v>
      </c>
      <c r="C23" s="64">
        <v>536</v>
      </c>
      <c r="D23" s="74">
        <v>0.90800000000000003</v>
      </c>
      <c r="E23" s="64"/>
      <c r="F23" s="69">
        <f>SUM(F10:F22)</f>
        <v>187560000</v>
      </c>
      <c r="K23" s="73"/>
      <c r="L23" s="73"/>
      <c r="M23" s="73"/>
      <c r="N23" s="73"/>
      <c r="P23" s="70" t="s">
        <v>46</v>
      </c>
      <c r="Q23" s="71">
        <v>450000</v>
      </c>
    </row>
    <row r="24" spans="2:17" x14ac:dyDescent="0.15">
      <c r="K24" s="73"/>
      <c r="L24" s="73"/>
      <c r="M24" s="73"/>
      <c r="N24" s="73"/>
      <c r="P24" s="70" t="s">
        <v>47</v>
      </c>
      <c r="Q24" s="71">
        <v>450000</v>
      </c>
    </row>
    <row r="25" spans="2:17" x14ac:dyDescent="0.15">
      <c r="K25" s="73"/>
      <c r="L25" s="73"/>
      <c r="M25" s="73"/>
      <c r="N25" s="73"/>
      <c r="P25" s="70" t="s">
        <v>48</v>
      </c>
      <c r="Q25" s="71">
        <v>500000</v>
      </c>
    </row>
    <row r="26" spans="2:17" x14ac:dyDescent="0.15">
      <c r="K26" s="73"/>
      <c r="L26" s="73"/>
      <c r="M26" s="73"/>
      <c r="N26" s="73"/>
      <c r="P26" s="70" t="s">
        <v>18</v>
      </c>
      <c r="Q26" s="71">
        <v>1000000</v>
      </c>
    </row>
    <row r="27" spans="2:17" x14ac:dyDescent="0.15">
      <c r="K27" s="73"/>
      <c r="L27" s="73"/>
      <c r="M27" s="73"/>
      <c r="N27" s="73"/>
      <c r="P27" s="70" t="s">
        <v>19</v>
      </c>
      <c r="Q27" s="71">
        <v>500000</v>
      </c>
    </row>
    <row r="28" spans="2:17" ht="14" thickBot="1" x14ac:dyDescent="0.2">
      <c r="K28" s="73"/>
      <c r="L28" s="73"/>
      <c r="M28" s="73"/>
      <c r="N28" s="73"/>
      <c r="P28" s="70" t="s">
        <v>20</v>
      </c>
      <c r="Q28" s="71">
        <v>500000</v>
      </c>
    </row>
    <row r="29" spans="2:17" ht="29" thickBot="1" x14ac:dyDescent="0.2">
      <c r="B29" s="61" t="s">
        <v>49</v>
      </c>
      <c r="K29" s="72"/>
      <c r="L29" s="72"/>
      <c r="M29" s="72"/>
      <c r="N29" s="72"/>
      <c r="P29" s="70" t="s">
        <v>50</v>
      </c>
      <c r="Q29" s="71">
        <v>750000</v>
      </c>
    </row>
    <row r="30" spans="2:17" ht="29" thickBot="1" x14ac:dyDescent="0.2">
      <c r="F30" s="61" t="s">
        <v>51</v>
      </c>
      <c r="P30" s="70" t="s">
        <v>21</v>
      </c>
      <c r="Q30" s="71">
        <v>80000</v>
      </c>
    </row>
    <row r="31" spans="2:17" ht="29" thickBot="1" x14ac:dyDescent="0.2">
      <c r="B31" s="75" t="s">
        <v>52</v>
      </c>
      <c r="C31" s="75" t="s">
        <v>53</v>
      </c>
      <c r="D31" s="75" t="s">
        <v>54</v>
      </c>
      <c r="E31" s="76"/>
      <c r="F31" s="77">
        <f>F23+D32</f>
        <v>254641000</v>
      </c>
      <c r="P31" s="70" t="s">
        <v>22</v>
      </c>
      <c r="Q31" s="71">
        <v>100000</v>
      </c>
    </row>
    <row r="32" spans="2:17" ht="17" thickBot="1" x14ac:dyDescent="0.25">
      <c r="B32" s="113">
        <f>14*14*37*37</f>
        <v>268324</v>
      </c>
      <c r="C32" s="75">
        <v>250</v>
      </c>
      <c r="D32" s="78">
        <f>B32*C32</f>
        <v>67081000</v>
      </c>
      <c r="E32" s="76"/>
      <c r="P32" s="70" t="s">
        <v>23</v>
      </c>
      <c r="Q32" s="71">
        <v>50000</v>
      </c>
    </row>
    <row r="33" spans="16:17" x14ac:dyDescent="0.15">
      <c r="P33" s="70" t="s">
        <v>55</v>
      </c>
      <c r="Q33" s="71">
        <v>140000</v>
      </c>
    </row>
    <row r="34" spans="16:17" x14ac:dyDescent="0.15">
      <c r="P34" s="70" t="s">
        <v>56</v>
      </c>
      <c r="Q34" s="71">
        <v>100000</v>
      </c>
    </row>
    <row r="35" spans="16:17" x14ac:dyDescent="0.15">
      <c r="P35" s="70" t="s">
        <v>57</v>
      </c>
      <c r="Q35" s="71">
        <v>120000</v>
      </c>
    </row>
    <row r="36" spans="16:17" x14ac:dyDescent="0.15">
      <c r="P36" s="79" t="s">
        <v>58</v>
      </c>
      <c r="Q36" s="80">
        <v>150000</v>
      </c>
    </row>
  </sheetData>
  <mergeCells count="2">
    <mergeCell ref="P8:P9"/>
    <mergeCell ref="Q8:Q9"/>
  </mergeCell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D244E-8AFF-1F40-98A9-EDD9D66AA82D}">
  <dimension ref="A1:K42"/>
  <sheetViews>
    <sheetView showGridLines="0" topLeftCell="A3" workbookViewId="0">
      <selection activeCell="G40" sqref="G40"/>
    </sheetView>
  </sheetViews>
  <sheetFormatPr baseColWidth="10" defaultRowHeight="13" x14ac:dyDescent="0.2"/>
  <cols>
    <col min="1" max="9" width="10.83203125" style="81"/>
    <col min="10" max="10" width="21.83203125" style="81" customWidth="1"/>
    <col min="11" max="11" width="9.83203125" style="81" bestFit="1" customWidth="1"/>
    <col min="12" max="16384" width="10.83203125" style="81"/>
  </cols>
  <sheetData>
    <row r="1" spans="1:11" ht="14" x14ac:dyDescent="0.2">
      <c r="A1" s="81" t="s">
        <v>59</v>
      </c>
    </row>
    <row r="6" spans="1:11" ht="14" thickBot="1" x14ac:dyDescent="0.25"/>
    <row r="7" spans="1:11" ht="28" customHeight="1" thickBot="1" x14ac:dyDescent="0.25">
      <c r="E7" s="82" t="s">
        <v>60</v>
      </c>
      <c r="F7" s="83" t="s">
        <v>61</v>
      </c>
      <c r="G7" s="84" t="s">
        <v>62</v>
      </c>
      <c r="H7" s="85"/>
      <c r="I7" s="83"/>
      <c r="J7" s="84" t="s">
        <v>63</v>
      </c>
      <c r="K7" s="86" t="s">
        <v>64</v>
      </c>
    </row>
    <row r="8" spans="1:11" ht="15" thickBot="1" x14ac:dyDescent="0.25">
      <c r="E8" s="87"/>
      <c r="F8" s="88"/>
      <c r="G8" s="89" t="s">
        <v>65</v>
      </c>
      <c r="H8" s="90" t="s">
        <v>66</v>
      </c>
      <c r="I8" s="89" t="s">
        <v>67</v>
      </c>
      <c r="J8" s="91"/>
      <c r="K8" s="92"/>
    </row>
    <row r="9" spans="1:11" ht="14" x14ac:dyDescent="0.2">
      <c r="E9" s="93" t="s">
        <v>11</v>
      </c>
      <c r="F9" s="94" t="s">
        <v>11</v>
      </c>
      <c r="G9" s="95">
        <v>1</v>
      </c>
      <c r="H9" s="96">
        <v>0.25</v>
      </c>
      <c r="I9" s="97">
        <v>0</v>
      </c>
      <c r="J9" s="98">
        <v>16</v>
      </c>
      <c r="K9" s="99">
        <f>J9*G9+H9*J9</f>
        <v>20</v>
      </c>
    </row>
    <row r="10" spans="1:11" ht="14" x14ac:dyDescent="0.2">
      <c r="E10" s="93" t="s">
        <v>12</v>
      </c>
      <c r="F10" s="94" t="s">
        <v>12</v>
      </c>
      <c r="G10" s="95">
        <v>1</v>
      </c>
      <c r="H10" s="96">
        <v>0.25</v>
      </c>
      <c r="I10" s="97">
        <v>0</v>
      </c>
      <c r="J10" s="98">
        <v>48</v>
      </c>
      <c r="K10" s="99">
        <f t="shared" ref="K10:K21" si="0">J10*G10+H10*J10</f>
        <v>60</v>
      </c>
    </row>
    <row r="11" spans="1:11" ht="14" x14ac:dyDescent="0.2">
      <c r="E11" s="93" t="s">
        <v>13</v>
      </c>
      <c r="F11" s="94" t="s">
        <v>13</v>
      </c>
      <c r="G11" s="95">
        <v>1</v>
      </c>
      <c r="H11" s="96">
        <v>0.25</v>
      </c>
      <c r="I11" s="97">
        <v>0</v>
      </c>
      <c r="J11" s="98">
        <v>16</v>
      </c>
      <c r="K11" s="99">
        <f t="shared" si="0"/>
        <v>20</v>
      </c>
    </row>
    <row r="12" spans="1:11" ht="14" x14ac:dyDescent="0.2">
      <c r="E12" s="93" t="s">
        <v>14</v>
      </c>
      <c r="F12" s="94" t="s">
        <v>14</v>
      </c>
      <c r="G12" s="95">
        <v>1</v>
      </c>
      <c r="H12" s="96">
        <v>0.25</v>
      </c>
      <c r="I12" s="97">
        <v>0</v>
      </c>
      <c r="J12" s="98">
        <v>68</v>
      </c>
      <c r="K12" s="99">
        <f t="shared" si="0"/>
        <v>85</v>
      </c>
    </row>
    <row r="13" spans="1:11" ht="14" x14ac:dyDescent="0.2">
      <c r="E13" s="93" t="s">
        <v>15</v>
      </c>
      <c r="F13" s="94" t="s">
        <v>15</v>
      </c>
      <c r="G13" s="95">
        <v>1</v>
      </c>
      <c r="H13" s="100">
        <v>0</v>
      </c>
      <c r="I13" s="101">
        <v>0.5</v>
      </c>
      <c r="J13" s="98">
        <v>32</v>
      </c>
      <c r="K13" s="99">
        <f t="shared" si="0"/>
        <v>32</v>
      </c>
    </row>
    <row r="14" spans="1:11" ht="14" x14ac:dyDescent="0.2">
      <c r="E14" s="93" t="s">
        <v>16</v>
      </c>
      <c r="F14" s="94" t="s">
        <v>16</v>
      </c>
      <c r="G14" s="95">
        <v>1</v>
      </c>
      <c r="H14" s="100">
        <v>0</v>
      </c>
      <c r="I14" s="101">
        <v>0.5</v>
      </c>
      <c r="J14" s="98">
        <v>36</v>
      </c>
      <c r="K14" s="99">
        <f t="shared" si="0"/>
        <v>36</v>
      </c>
    </row>
    <row r="15" spans="1:11" ht="14" x14ac:dyDescent="0.2">
      <c r="E15" s="93" t="s">
        <v>17</v>
      </c>
      <c r="F15" s="94" t="s">
        <v>17</v>
      </c>
      <c r="G15" s="95">
        <v>1</v>
      </c>
      <c r="H15" s="100">
        <v>0</v>
      </c>
      <c r="I15" s="101">
        <v>0.5</v>
      </c>
      <c r="J15" s="98">
        <v>16</v>
      </c>
      <c r="K15" s="99">
        <f t="shared" si="0"/>
        <v>16</v>
      </c>
    </row>
    <row r="16" spans="1:11" ht="14" x14ac:dyDescent="0.2">
      <c r="E16" s="93" t="s">
        <v>18</v>
      </c>
      <c r="F16" s="94" t="s">
        <v>18</v>
      </c>
      <c r="G16" s="101">
        <v>0</v>
      </c>
      <c r="H16" s="100">
        <v>0</v>
      </c>
      <c r="I16" s="101">
        <v>2</v>
      </c>
      <c r="J16" s="98">
        <v>48</v>
      </c>
      <c r="K16" s="99">
        <f t="shared" si="0"/>
        <v>0</v>
      </c>
    </row>
    <row r="17" spans="5:11" ht="14" x14ac:dyDescent="0.2">
      <c r="E17" s="93" t="s">
        <v>19</v>
      </c>
      <c r="F17" s="94" t="s">
        <v>19</v>
      </c>
      <c r="G17" s="101">
        <v>0</v>
      </c>
      <c r="H17" s="100">
        <v>0</v>
      </c>
      <c r="I17" s="101">
        <v>2</v>
      </c>
      <c r="J17" s="98">
        <v>44</v>
      </c>
      <c r="K17" s="99">
        <f t="shared" si="0"/>
        <v>0</v>
      </c>
    </row>
    <row r="18" spans="5:11" ht="14" x14ac:dyDescent="0.2">
      <c r="E18" s="93" t="s">
        <v>20</v>
      </c>
      <c r="F18" s="94" t="s">
        <v>20</v>
      </c>
      <c r="G18" s="101">
        <v>0</v>
      </c>
      <c r="H18" s="100">
        <v>0</v>
      </c>
      <c r="I18" s="101">
        <v>2</v>
      </c>
      <c r="J18" s="98">
        <v>76</v>
      </c>
      <c r="K18" s="99">
        <f t="shared" si="0"/>
        <v>0</v>
      </c>
    </row>
    <row r="19" spans="5:11" ht="14" x14ac:dyDescent="0.2">
      <c r="E19" s="93" t="s">
        <v>21</v>
      </c>
      <c r="F19" s="94" t="s">
        <v>21</v>
      </c>
      <c r="G19" s="101">
        <v>0</v>
      </c>
      <c r="H19" s="96">
        <v>2</v>
      </c>
      <c r="I19" s="101">
        <v>0</v>
      </c>
      <c r="J19" s="98">
        <v>12</v>
      </c>
      <c r="K19" s="99">
        <f t="shared" si="0"/>
        <v>24</v>
      </c>
    </row>
    <row r="20" spans="5:11" ht="14" x14ac:dyDescent="0.2">
      <c r="E20" s="93" t="s">
        <v>22</v>
      </c>
      <c r="F20" s="94" t="s">
        <v>22</v>
      </c>
      <c r="G20" s="101">
        <v>0</v>
      </c>
      <c r="H20" s="96">
        <v>2</v>
      </c>
      <c r="I20" s="101">
        <v>0</v>
      </c>
      <c r="J20" s="98">
        <v>48</v>
      </c>
      <c r="K20" s="99">
        <f t="shared" si="0"/>
        <v>96</v>
      </c>
    </row>
    <row r="21" spans="5:11" ht="15" thickBot="1" x14ac:dyDescent="0.25">
      <c r="E21" s="102" t="s">
        <v>23</v>
      </c>
      <c r="F21" s="103" t="s">
        <v>23</v>
      </c>
      <c r="G21" s="104">
        <v>0</v>
      </c>
      <c r="H21" s="105">
        <v>2</v>
      </c>
      <c r="I21" s="101">
        <v>0</v>
      </c>
      <c r="J21" s="98">
        <v>76</v>
      </c>
      <c r="K21" s="99">
        <f t="shared" si="0"/>
        <v>152</v>
      </c>
    </row>
    <row r="22" spans="5:11" ht="15" thickBot="1" x14ac:dyDescent="0.25">
      <c r="E22" s="76"/>
      <c r="F22" s="76"/>
      <c r="G22" s="96"/>
      <c r="H22" s="96"/>
      <c r="I22" s="106" t="s">
        <v>68</v>
      </c>
      <c r="J22" s="106">
        <f>SUM(J9:J21)</f>
        <v>536</v>
      </c>
      <c r="K22" s="107">
        <f>SUM(K9:K21)</f>
        <v>541</v>
      </c>
    </row>
    <row r="41" spans="11:11" ht="14" thickBot="1" x14ac:dyDescent="0.25"/>
    <row r="42" spans="11:11" ht="14" thickBot="1" x14ac:dyDescent="0.25">
      <c r="K42" s="108"/>
    </row>
  </sheetData>
  <mergeCells count="5">
    <mergeCell ref="E7:E8"/>
    <mergeCell ref="F7:F8"/>
    <mergeCell ref="G7:I7"/>
    <mergeCell ref="J7:J8"/>
    <mergeCell ref="K7:K8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 Free Layout</vt:lpstr>
      <vt:lpstr>distance for travel</vt:lpstr>
      <vt:lpstr>Total investment </vt:lpstr>
      <vt:lpstr>Operators Required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Subramanian, Shankar Aadhithyaa</dc:creator>
  <cp:lastModifiedBy>Subramanian, Shankar Aadhithyaa</cp:lastModifiedBy>
  <dcterms:created xsi:type="dcterms:W3CDTF">2025-11-14T22:17:15Z</dcterms:created>
  <dcterms:modified xsi:type="dcterms:W3CDTF">2025-11-15T00:27:41Z</dcterms:modified>
</cp:coreProperties>
</file>