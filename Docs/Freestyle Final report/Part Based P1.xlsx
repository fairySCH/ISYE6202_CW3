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Free Style/"/>
    </mc:Choice>
  </mc:AlternateContent>
  <xr:revisionPtr revIDLastSave="0" documentId="13_ncr:1_{C0BE53FD-2AF9-2046-BB11-EEC6CA4775AC}" xr6:coauthVersionLast="47" xr6:coauthVersionMax="47" xr10:uidLastSave="{00000000-0000-0000-0000-000000000000}"/>
  <bookViews>
    <workbookView xWindow="0" yWindow="680" windowWidth="29400" windowHeight="17320" activeTab="1" xr2:uid="{0D71519B-650F-3D41-AA73-1BC6CBA68DBE}"/>
  </bookViews>
  <sheets>
    <sheet name="Flow Matrix" sheetId="1" r:id="rId1"/>
    <sheet name="Step2" sheetId="3" r:id="rId2"/>
    <sheet name="Size Matrix" sheetId="4" r:id="rId3"/>
    <sheet name="Skeleton Layout" sheetId="5" r:id="rId4"/>
    <sheet name="Distance for Travel" sheetId="6" r:id="rId5"/>
    <sheet name="Final Layou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AO13" i="6"/>
  <c r="AJ12" i="6"/>
  <c r="AI11" i="6"/>
  <c r="AH10" i="6"/>
  <c r="J9" i="3"/>
  <c r="AP18" i="6"/>
  <c r="I16" i="3" l="1"/>
  <c r="K16" i="3" s="1"/>
  <c r="K12" i="3"/>
  <c r="K14" i="3"/>
  <c r="K13" i="3"/>
  <c r="K15" i="3"/>
  <c r="K17" i="3"/>
  <c r="K18" i="3"/>
  <c r="AG47" i="6" l="1"/>
  <c r="AG48" i="6"/>
  <c r="AG49" i="6"/>
  <c r="AG50" i="6"/>
  <c r="AG51" i="6"/>
  <c r="AG52" i="6"/>
  <c r="AG46" i="6"/>
  <c r="BK11" i="6"/>
  <c r="AY26" i="6"/>
  <c r="BW22" i="6"/>
  <c r="BU22" i="6"/>
  <c r="BT22" i="6"/>
  <c r="BS22" i="6"/>
  <c r="BR22" i="6"/>
  <c r="BQ22" i="6"/>
  <c r="BP22" i="6"/>
  <c r="BO22" i="6"/>
  <c r="BN22" i="6"/>
  <c r="BM22" i="6"/>
  <c r="BL22" i="6"/>
  <c r="BK22" i="6"/>
  <c r="BV21" i="6"/>
  <c r="BU21" i="6" s="1"/>
  <c r="BT21" i="6"/>
  <c r="BS21" i="6"/>
  <c r="BR21" i="6"/>
  <c r="BQ21" i="6"/>
  <c r="BP21" i="6"/>
  <c r="BO21" i="6"/>
  <c r="BN21" i="6"/>
  <c r="BM21" i="6"/>
  <c r="BL21" i="6"/>
  <c r="BK21" i="6"/>
  <c r="BU20" i="6"/>
  <c r="BT20" i="6"/>
  <c r="BS20" i="6"/>
  <c r="BR20" i="6"/>
  <c r="BQ20" i="6"/>
  <c r="BP20" i="6"/>
  <c r="BO20" i="6"/>
  <c r="BN20" i="6"/>
  <c r="BM20" i="6"/>
  <c r="BL20" i="6"/>
  <c r="BK20" i="6"/>
  <c r="BW19" i="6"/>
  <c r="BV19" i="6"/>
  <c r="BU19" i="6"/>
  <c r="BT19" i="6"/>
  <c r="BR19" i="6"/>
  <c r="BQ19" i="6"/>
  <c r="BP19" i="6"/>
  <c r="BO19" i="6"/>
  <c r="BN19" i="6"/>
  <c r="BM19" i="6"/>
  <c r="BL19" i="6"/>
  <c r="BK19" i="6"/>
  <c r="BW18" i="6"/>
  <c r="BV18" i="6"/>
  <c r="BU18" i="6"/>
  <c r="BS18" i="6"/>
  <c r="BR18" i="6"/>
  <c r="BQ18" i="6"/>
  <c r="BP18" i="6"/>
  <c r="BO18" i="6"/>
  <c r="BN18" i="6"/>
  <c r="BM18" i="6"/>
  <c r="BL18" i="6"/>
  <c r="BK18" i="6"/>
  <c r="BW17" i="6"/>
  <c r="BV17" i="6"/>
  <c r="BU17" i="6"/>
  <c r="BR17" i="6"/>
  <c r="BQ17" i="6"/>
  <c r="BP17" i="6"/>
  <c r="BO17" i="6"/>
  <c r="BN17" i="6"/>
  <c r="BM17" i="6"/>
  <c r="BL17" i="6"/>
  <c r="BK17" i="6"/>
  <c r="BW16" i="6"/>
  <c r="BV16" i="6"/>
  <c r="BR16" i="6" s="1"/>
  <c r="BU16" i="6"/>
  <c r="BT16" i="6"/>
  <c r="BQ16" i="6"/>
  <c r="BN16" i="6"/>
  <c r="BM16" i="6"/>
  <c r="BL16" i="6"/>
  <c r="BK16" i="6"/>
  <c r="BW15" i="6"/>
  <c r="BV15" i="6"/>
  <c r="BR15" i="6" s="1"/>
  <c r="BU15" i="6"/>
  <c r="BT15" i="6"/>
  <c r="BP15" i="6"/>
  <c r="BO15" i="6"/>
  <c r="BN15" i="6"/>
  <c r="BL15" i="6"/>
  <c r="BK15" i="6"/>
  <c r="BW14" i="6"/>
  <c r="BV14" i="6"/>
  <c r="BR14" i="6" s="1"/>
  <c r="BU14" i="6"/>
  <c r="BT14" i="6"/>
  <c r="BS14" i="6"/>
  <c r="BO14" i="6"/>
  <c r="BN14" i="6"/>
  <c r="BM14" i="6"/>
  <c r="BL14" i="6"/>
  <c r="BK14" i="6"/>
  <c r="BQ14" i="6"/>
  <c r="BP14" i="6"/>
  <c r="BW13" i="6"/>
  <c r="BV13" i="6"/>
  <c r="BU13" i="6"/>
  <c r="BT13" i="6"/>
  <c r="BP13" i="6"/>
  <c r="BO13" i="6"/>
  <c r="BN13" i="6"/>
  <c r="BL13" i="6"/>
  <c r="BK13" i="6"/>
  <c r="BW12" i="6"/>
  <c r="BV12" i="6"/>
  <c r="BU12" i="6"/>
  <c r="BT12" i="6"/>
  <c r="BR12" i="6"/>
  <c r="BQ12" i="6"/>
  <c r="BP12" i="6"/>
  <c r="BO12" i="6"/>
  <c r="BM12" i="6"/>
  <c r="BL12" i="6"/>
  <c r="BK12" i="6"/>
  <c r="BW11" i="6"/>
  <c r="BV11" i="6"/>
  <c r="BU11" i="6"/>
  <c r="BT11" i="6"/>
  <c r="BS11" i="6"/>
  <c r="BR11" i="6"/>
  <c r="BQ11" i="6"/>
  <c r="BP11" i="6"/>
  <c r="BO11" i="6"/>
  <c r="BL11" i="6"/>
  <c r="BW10" i="6"/>
  <c r="BV10" i="6"/>
  <c r="BL10" i="6" s="1"/>
  <c r="BU10" i="6"/>
  <c r="BT10" i="6"/>
  <c r="BS10" i="6"/>
  <c r="BR10" i="6"/>
  <c r="BQ10" i="6"/>
  <c r="BP10" i="6"/>
  <c r="BO10" i="6"/>
  <c r="BN10" i="6"/>
  <c r="F18" i="3"/>
  <c r="F17" i="3"/>
  <c r="F13" i="3"/>
  <c r="F14" i="3"/>
  <c r="F15" i="3"/>
  <c r="F16" i="3"/>
  <c r="F12" i="3"/>
  <c r="BQ13" i="6" l="1"/>
  <c r="BM13" i="6"/>
  <c r="BT17" i="6"/>
  <c r="BO16" i="6"/>
  <c r="BT18" i="6"/>
  <c r="BQ15" i="6"/>
  <c r="BM15" i="6"/>
  <c r="BW21" i="6"/>
  <c r="BR13" i="6"/>
  <c r="BM11" i="6"/>
  <c r="BM10" i="6"/>
  <c r="BP16" i="6"/>
  <c r="BK10" i="6"/>
  <c r="G18" i="3"/>
  <c r="H18" i="3" s="1"/>
  <c r="J18" i="3" s="1"/>
  <c r="G17" i="3"/>
  <c r="H17" i="3" s="1"/>
  <c r="J17" i="3" s="1"/>
  <c r="G16" i="3"/>
  <c r="H16" i="3" s="1"/>
  <c r="J16" i="3" s="1"/>
  <c r="G15" i="3"/>
  <c r="H15" i="3" s="1"/>
  <c r="J15" i="3" s="1"/>
  <c r="G14" i="3"/>
  <c r="G13" i="3"/>
  <c r="H13" i="3" s="1"/>
  <c r="J13" i="3" s="1"/>
  <c r="G12" i="3"/>
  <c r="H12" i="3" l="1"/>
  <c r="J12" i="3" s="1"/>
  <c r="H14" i="3"/>
  <c r="J14" i="3" s="1"/>
  <c r="X4" i="1"/>
  <c r="Y9" i="1" s="1"/>
  <c r="X11" i="1"/>
  <c r="Y11" i="1" s="1"/>
  <c r="X10" i="1"/>
  <c r="X9" i="1"/>
  <c r="X8" i="1"/>
  <c r="Y8" i="1" s="1"/>
  <c r="X7" i="1"/>
  <c r="Y7" i="1" s="1"/>
  <c r="X6" i="1"/>
  <c r="Y6" i="1" l="1"/>
  <c r="Z6" i="1" s="1"/>
  <c r="Y10" i="1"/>
  <c r="Z7" i="1"/>
  <c r="Z8" i="1" s="1"/>
  <c r="Z9" i="1" s="1"/>
  <c r="Z10" i="1" s="1"/>
  <c r="Z11" i="1" s="1"/>
  <c r="BN11" i="6"/>
  <c r="BN12" i="6"/>
  <c r="BW20" i="6"/>
  <c r="BV20" i="6"/>
  <c r="BV22" i="6"/>
  <c r="BS15" i="6"/>
  <c r="BS17" i="6"/>
  <c r="BS12" i="6"/>
  <c r="BS19" i="6"/>
  <c r="BS13" i="6"/>
  <c r="BS16" i="6"/>
  <c r="AY25" i="6" l="1"/>
  <c r="AY27" i="6" s="1"/>
</calcChain>
</file>

<file path=xl/sharedStrings.xml><?xml version="1.0" encoding="utf-8"?>
<sst xmlns="http://schemas.openxmlformats.org/spreadsheetml/2006/main" count="201" uniqueCount="58">
  <si>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</si>
  <si>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</si>
  <si>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</si>
  <si>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</si>
  <si>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</si>
  <si>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</si>
  <si>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</si>
  <si>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</si>
  <si>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</si>
  <si>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</si>
  <si>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</si>
  <si>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</si>
  <si>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</si>
  <si>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Total Flow</t>
  </si>
  <si>
    <t>% of total flow</t>
  </si>
  <si>
    <t>Cum flow%</t>
  </si>
  <si>
    <t>C-&gt;D</t>
  </si>
  <si>
    <t>B-&gt;A</t>
  </si>
  <si>
    <t>Equal flow across all machines</t>
  </si>
  <si>
    <t>A-&gt;B</t>
  </si>
  <si>
    <t>B-&gt;C</t>
  </si>
  <si>
    <t>D-&gt;I</t>
  </si>
  <si>
    <t>I-&gt;J</t>
  </si>
  <si>
    <t>Process</t>
  </si>
  <si>
    <t>Total_Equipment</t>
  </si>
  <si>
    <t>Utilization_per_Center</t>
  </si>
  <si>
    <t>Area per eqp ft2</t>
  </si>
  <si>
    <t>Total area of each eqp centre ft2</t>
  </si>
  <si>
    <t xml:space="preserve">L </t>
  </si>
  <si>
    <t>W</t>
  </si>
  <si>
    <t>HIJ</t>
  </si>
  <si>
    <t>ABCD</t>
  </si>
  <si>
    <t>Part</t>
  </si>
  <si>
    <t>Total_Machines</t>
  </si>
  <si>
    <t>P1</t>
  </si>
  <si>
    <t>A: 5.0</t>
  </si>
  <si>
    <t>C: 3.0</t>
  </si>
  <si>
    <t>D: 13.0</t>
  </si>
  <si>
    <t>I: 7.0</t>
  </si>
  <si>
    <t>J: 13.0</t>
  </si>
  <si>
    <t>14 Ft</t>
  </si>
  <si>
    <t>1unit</t>
  </si>
  <si>
    <t>1unit=</t>
  </si>
  <si>
    <t>X</t>
  </si>
  <si>
    <t>Y</t>
  </si>
  <si>
    <t>centre to centre distance (X axis)</t>
  </si>
  <si>
    <t>centre to centre distance (Y axis)</t>
  </si>
  <si>
    <t>Dist</t>
  </si>
  <si>
    <t>total distance</t>
  </si>
  <si>
    <t>Total flow</t>
  </si>
  <si>
    <t>Distance per trip</t>
  </si>
  <si>
    <t>14ft</t>
  </si>
  <si>
    <t>1unit=14ft</t>
  </si>
  <si>
    <t>Area=</t>
  </si>
  <si>
    <t>Aspect ratio 1unit=14ft L</t>
  </si>
  <si>
    <t>Aspect ratio 1unit=14ft W</t>
  </si>
  <si>
    <t>FLOW</t>
  </si>
  <si>
    <t>B: 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</si>
</sst>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8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0"/>
      <name val="Helvetica Neue"/>
      <family val="2"/>
    </font>
    <font>
      <sz val="18"/>
      <color theme="0"/>
      <name val="Aptos Narrow"/>
      <family val="2"/>
      <scheme val="minor"/>
    </font>
    <font>
      <sz val="10"/>
      <color theme="1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</cellStyleXfs>
  <cellXfs count="5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top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9" fontId="7" fillId="0" borderId="6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8" fillId="6" borderId="1" xfId="0" applyFont="1" applyFill="1" applyBorder="1" applyAlignment="1">
      <alignment vertical="top"/>
    </xf>
    <xf numFmtId="49" fontId="8" fillId="6" borderId="1" xfId="0" applyNumberFormat="1" applyFont="1" applyFill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horizontal="center" vertical="center"/>
    </xf>
    <xf numFmtId="1" fontId="0" fillId="7" borderId="1" xfId="0" applyNumberFormat="1" applyFill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1" fontId="9" fillId="7" borderId="1" xfId="0" applyNumberFormat="1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8" xfId="0" applyBorder="1"/>
    <xf numFmtId="1" fontId="4" fillId="8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C231D0D1-2CAF-444F-B2E8-676768CA1C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187326</xdr:colOff>
      <xdr:row>9</xdr:row>
      <xdr:rowOff>44450</xdr:rowOff>
    </xdr:from>
    <xdr:to>
      <xdr:col>27</xdr:col>
      <xdr:colOff>346076</xdr:colOff>
      <xdr:row>9</xdr:row>
      <xdr:rowOff>52387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D994E90-22C9-FD43-B02C-A79AB8C9A3F2}"/>
            </a:ext>
          </a:extLst>
        </xdr:cNvPr>
        <xdr:cNvCxnSpPr/>
      </xdr:nvCxnSpPr>
      <xdr:spPr>
        <a:xfrm>
          <a:off x="11782426" y="2165350"/>
          <a:ext cx="793750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154212</xdr:colOff>
      <xdr:row>5</xdr:row>
      <xdr:rowOff>136069</xdr:rowOff>
    </xdr:from>
    <xdr:to>
      <xdr:col>27</xdr:col>
      <xdr:colOff>312962</xdr:colOff>
      <xdr:row>5</xdr:row>
      <xdr:rowOff>144006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190266-6C58-DD4B-8881-B67F08CA9B4C}"/>
            </a:ext>
          </a:extLst>
        </xdr:cNvPr>
        <xdr:cNvCxnSpPr/>
      </xdr:nvCxnSpPr>
      <xdr:spPr>
        <a:xfrm>
          <a:off x="13770426" y="1750783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6</xdr:row>
      <xdr:rowOff>63498</xdr:rowOff>
    </xdr:from>
    <xdr:to>
      <xdr:col>27</xdr:col>
      <xdr:colOff>285748</xdr:colOff>
      <xdr:row>6</xdr:row>
      <xdr:rowOff>71435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16D7737-6DAA-7042-A3F7-E6C2639B5BD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7</xdr:row>
      <xdr:rowOff>63498</xdr:rowOff>
    </xdr:from>
    <xdr:to>
      <xdr:col>27</xdr:col>
      <xdr:colOff>285748</xdr:colOff>
      <xdr:row>7</xdr:row>
      <xdr:rowOff>71435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AC30D3B-FAFE-A84B-9FD5-A0C51A3A69A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8</xdr:row>
      <xdr:rowOff>63498</xdr:rowOff>
    </xdr:from>
    <xdr:to>
      <xdr:col>27</xdr:col>
      <xdr:colOff>285748</xdr:colOff>
      <xdr:row>8</xdr:row>
      <xdr:rowOff>71435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AD63283-F222-914E-8BCE-FFBEDC48679E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187326</xdr:colOff>
      <xdr:row>10</xdr:row>
      <xdr:rowOff>44450</xdr:rowOff>
    </xdr:from>
    <xdr:to>
      <xdr:col>27</xdr:col>
      <xdr:colOff>346076</xdr:colOff>
      <xdr:row>10</xdr:row>
      <xdr:rowOff>52387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20FB313-D75A-4749-9EFF-E880CB07AFC5}"/>
            </a:ext>
          </a:extLst>
        </xdr:cNvPr>
        <xdr:cNvCxnSpPr/>
      </xdr:nvCxnSpPr>
      <xdr:spPr>
        <a:xfrm>
          <a:off x="13567683" y="2929164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18143</xdr:colOff>
      <xdr:row>21</xdr:row>
      <xdr:rowOff>18143</xdr:rowOff>
    </xdr:from>
    <xdr:to>
      <xdr:col>28</xdr:col>
      <xdr:colOff>18144</xdr:colOff>
      <xdr:row>26</xdr:row>
      <xdr:rowOff>54429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308134-670F-BC4A-B8C3-3860C5F29C9C}"/>
            </a:ext>
          </a:extLst>
        </xdr:cNvPr>
        <xdr:cNvGrpSpPr/>
      </xdr:nvGrpSpPr>
      <xdr:grpSpPr>
        <a:xfrm>
          <a:off x="17163143" y="10686143"/>
          <a:ext cx="635001" cy="2576286"/>
          <a:chOff x="3660365" y="19765723"/>
          <a:chExt cx="1168399" cy="128579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B5D652C-5167-6EBB-2BCB-0D88DD60B730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52EAF57-1C09-7FB3-F8D8-441037DDAC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59F5D418-8733-F8E4-09AD-092987934529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5B9EE71-CC4C-76B1-F0E6-AEDDCB5BDFF4}"/>
              </a:ext>
            </a:extLst>
          </xdr:cNvPr>
          <xdr:cNvSpPr/>
        </xdr:nvSpPr>
        <xdr:spPr>
          <a:xfrm>
            <a:off x="3884549" y="20015928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23</xdr:col>
      <xdr:colOff>0</xdr:colOff>
      <xdr:row>21</xdr:row>
      <xdr:rowOff>18142</xdr:rowOff>
    </xdr:from>
    <xdr:to>
      <xdr:col>26</xdr:col>
      <xdr:colOff>0</xdr:colOff>
      <xdr:row>26</xdr:row>
      <xdr:rowOff>36285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BA1C697-39E3-9842-BA4A-43C4EB7FA4F5}"/>
            </a:ext>
          </a:extLst>
        </xdr:cNvPr>
        <xdr:cNvGrpSpPr/>
      </xdr:nvGrpSpPr>
      <xdr:grpSpPr>
        <a:xfrm>
          <a:off x="14605000" y="10686142"/>
          <a:ext cx="1905000" cy="2558143"/>
          <a:chOff x="7403600" y="19633475"/>
          <a:chExt cx="1431609" cy="213541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ABAC99B-FF1B-55D6-D2A5-60B98AB23808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72E793D-E3AE-5B16-89B0-771E832A9E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397F8B68-C5B3-1D36-062E-3909DED903A4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0333A84-2D52-93C0-0B19-E4A84B1EA880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26</xdr:col>
      <xdr:colOff>0</xdr:colOff>
      <xdr:row>23</xdr:row>
      <xdr:rowOff>264282</xdr:rowOff>
    </xdr:from>
    <xdr:to>
      <xdr:col>27</xdr:col>
      <xdr:colOff>18143</xdr:colOff>
      <xdr:row>23</xdr:row>
      <xdr:rowOff>264673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00409ED-AF07-8F4A-9337-2D3E766456BC}"/>
            </a:ext>
          </a:extLst>
        </xdr:cNvPr>
        <xdr:cNvCxnSpPr>
          <a:stCxn id="11" idx="3"/>
          <a:endCxn id="6" idx="1"/>
        </xdr:cNvCxnSpPr>
      </xdr:nvCxnSpPr>
      <xdr:spPr>
        <a:xfrm flipV="1">
          <a:off x="16510000" y="11948282"/>
          <a:ext cx="1923143" cy="391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29</xdr:col>
      <xdr:colOff>36287</xdr:colOff>
      <xdr:row>20</xdr:row>
      <xdr:rowOff>489856</xdr:rowOff>
    </xdr:from>
    <xdr:to>
      <xdr:col>31</xdr:col>
      <xdr:colOff>606779</xdr:colOff>
      <xdr:row>26</xdr:row>
      <xdr:rowOff>72571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C8090F1-5FA5-F64B-998D-53D8C065E463}"/>
            </a:ext>
          </a:extLst>
        </xdr:cNvPr>
        <xdr:cNvGrpSpPr/>
      </xdr:nvGrpSpPr>
      <xdr:grpSpPr>
        <a:xfrm>
          <a:off x="18451287" y="10649856"/>
          <a:ext cx="1840492" cy="2630715"/>
          <a:chOff x="7403600" y="19633475"/>
          <a:chExt cx="1431609" cy="2135415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12147F87-8D88-63E5-5529-FF9B47259405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F5E0C9EF-0D96-71D5-7222-5380F8065D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506A8BB1-9791-532E-C99A-B95D619C88BB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8DA8AC2-E92E-14F9-9D2B-E676398E0122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28</xdr:col>
      <xdr:colOff>18144</xdr:colOff>
      <xdr:row>23</xdr:row>
      <xdr:rowOff>264282</xdr:rowOff>
    </xdr:from>
    <xdr:to>
      <xdr:col>29</xdr:col>
      <xdr:colOff>36287</xdr:colOff>
      <xdr:row>23</xdr:row>
      <xdr:rowOff>286162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47391DD-C362-7E49-A867-28CC5FCDDD1E}"/>
            </a:ext>
          </a:extLst>
        </xdr:cNvPr>
        <xdr:cNvCxnSpPr>
          <a:stCxn id="6" idx="3"/>
          <a:endCxn id="20" idx="1"/>
        </xdr:cNvCxnSpPr>
      </xdr:nvCxnSpPr>
      <xdr:spPr>
        <a:xfrm>
          <a:off x="17798144" y="11948282"/>
          <a:ext cx="653143" cy="21880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33</xdr:col>
      <xdr:colOff>25401</xdr:colOff>
      <xdr:row>21</xdr:row>
      <xdr:rowOff>453572</xdr:rowOff>
    </xdr:from>
    <xdr:to>
      <xdr:col>34</xdr:col>
      <xdr:colOff>127000</xdr:colOff>
      <xdr:row>25</xdr:row>
      <xdr:rowOff>47172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792B39B-E59F-5947-9232-DE68F8503048}"/>
            </a:ext>
          </a:extLst>
        </xdr:cNvPr>
        <xdr:cNvGrpSpPr/>
      </xdr:nvGrpSpPr>
      <xdr:grpSpPr>
        <a:xfrm>
          <a:off x="20980401" y="11121572"/>
          <a:ext cx="736599" cy="1625600"/>
          <a:chOff x="486956" y="1091837"/>
          <a:chExt cx="1152433" cy="1261292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6DD854AA-10FB-4221-B55D-F64B8817E0E5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4F0B3D0E-0046-67E7-334A-D8A66EAF7C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DA251ADA-6FE3-8ECB-6D1B-E35F6D77F2C1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DC2E0331-8205-E3CB-430A-C783E89D12CF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31</xdr:col>
      <xdr:colOff>606779</xdr:colOff>
      <xdr:row>23</xdr:row>
      <xdr:rowOff>232573</xdr:rowOff>
    </xdr:from>
    <xdr:to>
      <xdr:col>33</xdr:col>
      <xdr:colOff>25401</xdr:colOff>
      <xdr:row>23</xdr:row>
      <xdr:rowOff>264204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92D4F5E-87B2-A24E-A61D-15136E4F1723}"/>
            </a:ext>
          </a:extLst>
        </xdr:cNvPr>
        <xdr:cNvCxnSpPr>
          <a:stCxn id="21" idx="3"/>
          <a:endCxn id="35" idx="1"/>
        </xdr:cNvCxnSpPr>
      </xdr:nvCxnSpPr>
      <xdr:spPr>
        <a:xfrm flipV="1">
          <a:off x="20291779" y="11916573"/>
          <a:ext cx="1958622" cy="31631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35</xdr:col>
      <xdr:colOff>14516</xdr:colOff>
      <xdr:row>21</xdr:row>
      <xdr:rowOff>18144</xdr:rowOff>
    </xdr:from>
    <xdr:to>
      <xdr:col>37</xdr:col>
      <xdr:colOff>616857</xdr:colOff>
      <xdr:row>26</xdr:row>
      <xdr:rowOff>54430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FEE46507-FE4B-154F-A5B4-8272E97ACB01}"/>
            </a:ext>
          </a:extLst>
        </xdr:cNvPr>
        <xdr:cNvGrpSpPr/>
      </xdr:nvGrpSpPr>
      <xdr:grpSpPr>
        <a:xfrm>
          <a:off x="22239516" y="10686144"/>
          <a:ext cx="1872341" cy="2576286"/>
          <a:chOff x="3655786" y="1115787"/>
          <a:chExt cx="1914071" cy="2485569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A8F148F1-730E-72FC-AD40-55CAEB9C1BB0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8988C959-0D3E-8FC5-1079-9FA9B4C32C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C835515C-CE46-5ADB-E993-06AD23FEE5D7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78BFC8ED-C673-B972-8931-6A3F62E026B5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34</xdr:col>
      <xdr:colOff>127000</xdr:colOff>
      <xdr:row>23</xdr:row>
      <xdr:rowOff>232573</xdr:rowOff>
    </xdr:from>
    <xdr:to>
      <xdr:col>35</xdr:col>
      <xdr:colOff>14516</xdr:colOff>
      <xdr:row>23</xdr:row>
      <xdr:rowOff>276184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F128F91-CFA2-804F-837F-85B333066094}"/>
            </a:ext>
          </a:extLst>
        </xdr:cNvPr>
        <xdr:cNvCxnSpPr>
          <a:stCxn id="35" idx="3"/>
          <a:endCxn id="43" idx="1"/>
        </xdr:cNvCxnSpPr>
      </xdr:nvCxnSpPr>
      <xdr:spPr>
        <a:xfrm>
          <a:off x="24257000" y="11916573"/>
          <a:ext cx="522516" cy="43611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39</xdr:col>
      <xdr:colOff>108857</xdr:colOff>
      <xdr:row>19</xdr:row>
      <xdr:rowOff>489857</xdr:rowOff>
    </xdr:from>
    <xdr:to>
      <xdr:col>42</xdr:col>
      <xdr:colOff>54429</xdr:colOff>
      <xdr:row>26</xdr:row>
      <xdr:rowOff>18143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236FA1A1-B599-A144-8355-F53E38D7243B}"/>
            </a:ext>
          </a:extLst>
        </xdr:cNvPr>
        <xdr:cNvGrpSpPr/>
      </xdr:nvGrpSpPr>
      <xdr:grpSpPr>
        <a:xfrm>
          <a:off x="24873857" y="10141857"/>
          <a:ext cx="1850572" cy="3084286"/>
          <a:chOff x="525521" y="5026181"/>
          <a:chExt cx="2343023" cy="2457303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D2ECD6F5-9C3D-6196-DAE3-55CFE6F47B75}"/>
              </a:ext>
            </a:extLst>
          </xdr:cNvPr>
          <xdr:cNvGrpSpPr/>
        </xdr:nvGrpSpPr>
        <xdr:grpSpPr>
          <a:xfrm>
            <a:off x="525521" y="5026181"/>
            <a:ext cx="2343023" cy="2457303"/>
            <a:chOff x="1875264" y="3496103"/>
            <a:chExt cx="3131054" cy="960817"/>
          </a:xfrm>
        </xdr:grpSpPr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49879F39-2DC1-0ACA-C27B-593AB1B36E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75264" y="3496103"/>
              <a:ext cx="2995072" cy="953897"/>
            </a:xfrm>
            <a:prstGeom prst="rect">
              <a:avLst/>
            </a:prstGeom>
          </xdr:spPr>
        </xdr:pic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4B5E84A1-3BB0-5666-FC82-06715A6C76C6}"/>
                </a:ext>
              </a:extLst>
            </xdr:cNvPr>
            <xdr:cNvSpPr/>
          </xdr:nvSpPr>
          <xdr:spPr>
            <a:xfrm>
              <a:off x="1915094" y="3502497"/>
              <a:ext cx="3091224" cy="9544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64E10411-13B7-356A-6402-416CF822BD84}"/>
              </a:ext>
            </a:extLst>
          </xdr:cNvPr>
          <xdr:cNvSpPr txBox="1"/>
        </xdr:nvSpPr>
        <xdr:spPr>
          <a:xfrm>
            <a:off x="1293989" y="5807089"/>
            <a:ext cx="1050402" cy="69347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no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37</xdr:col>
      <xdr:colOff>119932</xdr:colOff>
      <xdr:row>23</xdr:row>
      <xdr:rowOff>217714</xdr:rowOff>
    </xdr:from>
    <xdr:to>
      <xdr:col>40</xdr:col>
      <xdr:colOff>145143</xdr:colOff>
      <xdr:row>23</xdr:row>
      <xdr:rowOff>266783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EF79B56-65E3-644D-8F6E-BB79ACA1093D}"/>
            </a:ext>
          </a:extLst>
        </xdr:cNvPr>
        <xdr:cNvCxnSpPr>
          <a:stCxn id="41" idx="3"/>
        </xdr:cNvCxnSpPr>
      </xdr:nvCxnSpPr>
      <xdr:spPr>
        <a:xfrm flipV="1">
          <a:off x="26154932" y="11901714"/>
          <a:ext cx="1930211" cy="49069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43</xdr:col>
      <xdr:colOff>57298</xdr:colOff>
      <xdr:row>20</xdr:row>
      <xdr:rowOff>0</xdr:rowOff>
    </xdr:from>
    <xdr:to>
      <xdr:col>48</xdr:col>
      <xdr:colOff>18143</xdr:colOff>
      <xdr:row>27</xdr:row>
      <xdr:rowOff>72571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C9484A6E-BF93-E94B-829B-E6D7B62CDF1C}"/>
            </a:ext>
          </a:extLst>
        </xdr:cNvPr>
        <xdr:cNvGrpSpPr/>
      </xdr:nvGrpSpPr>
      <xdr:grpSpPr>
        <a:xfrm>
          <a:off x="27362298" y="10160000"/>
          <a:ext cx="3135845" cy="3628571"/>
          <a:chOff x="7446459" y="5303237"/>
          <a:chExt cx="3165928" cy="3018383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CB87A590-2D0A-A736-C5B7-CA9DAE77E538}"/>
              </a:ext>
            </a:extLst>
          </xdr:cNvPr>
          <xdr:cNvGrpSpPr/>
        </xdr:nvGrpSpPr>
        <xdr:grpSpPr>
          <a:xfrm>
            <a:off x="7446459" y="5303237"/>
            <a:ext cx="3165928" cy="3018383"/>
            <a:chOff x="5998515" y="3579210"/>
            <a:chExt cx="3038285" cy="943131"/>
          </a:xfrm>
        </xdr:grpSpPr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DE49DA74-05BB-96C9-9014-CA018D91F4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25785" y="3580392"/>
              <a:ext cx="2999681" cy="937972"/>
            </a:xfrm>
            <a:prstGeom prst="rect">
              <a:avLst/>
            </a:prstGeom>
          </xdr:spPr>
        </xdr:pic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9AAF001-3540-D6D3-02D2-1F42E1D633EF}"/>
                </a:ext>
              </a:extLst>
            </xdr:cNvPr>
            <xdr:cNvSpPr/>
          </xdr:nvSpPr>
          <xdr:spPr>
            <a:xfrm>
              <a:off x="5998515" y="3579210"/>
              <a:ext cx="3038285" cy="94313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54377307-FA82-E2C6-AD9B-10FFD9A8F168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42</xdr:col>
      <xdr:colOff>54429</xdr:colOff>
      <xdr:row>23</xdr:row>
      <xdr:rowOff>10263</xdr:rowOff>
    </xdr:from>
    <xdr:to>
      <xdr:col>43</xdr:col>
      <xdr:colOff>57298</xdr:colOff>
      <xdr:row>23</xdr:row>
      <xdr:rowOff>290286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DF21AE6E-6E1C-9141-8CAA-8C9530461CDE}"/>
            </a:ext>
          </a:extLst>
        </xdr:cNvPr>
        <xdr:cNvCxnSpPr>
          <a:stCxn id="55" idx="3"/>
          <a:endCxn id="66" idx="1"/>
        </xdr:cNvCxnSpPr>
      </xdr:nvCxnSpPr>
      <xdr:spPr>
        <a:xfrm>
          <a:off x="29264429" y="11694263"/>
          <a:ext cx="637869" cy="280023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</xdr:colOff>
      <xdr:row>9</xdr:row>
      <xdr:rowOff>18143</xdr:rowOff>
    </xdr:from>
    <xdr:to>
      <xdr:col>11</xdr:col>
      <xdr:colOff>0</xdr:colOff>
      <xdr:row>14</xdr:row>
      <xdr:rowOff>54429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24EC576B-9E23-3246-82FA-C1657A3E998F}"/>
            </a:ext>
          </a:extLst>
        </xdr:cNvPr>
        <xdr:cNvGrpSpPr/>
      </xdr:nvGrpSpPr>
      <xdr:grpSpPr>
        <a:xfrm>
          <a:off x="8905875" y="3161393"/>
          <a:ext cx="873125" cy="1782536"/>
          <a:chOff x="3660365" y="19765723"/>
          <a:chExt cx="1168399" cy="1285796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9D3D5F36-56D9-C169-7A1E-4084ED065224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E089A85E-F92E-D463-D6B9-B58DE7404F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1E83AB87-309F-89FF-8A95-EA838CB16F7F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73E6F9ED-7141-B183-B94B-2CD98F394D4D}"/>
              </a:ext>
            </a:extLst>
          </xdr:cNvPr>
          <xdr:cNvSpPr/>
        </xdr:nvSpPr>
        <xdr:spPr>
          <a:xfrm>
            <a:off x="3884549" y="20015928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7</xdr:col>
      <xdr:colOff>0</xdr:colOff>
      <xdr:row>9</xdr:row>
      <xdr:rowOff>18142</xdr:rowOff>
    </xdr:from>
    <xdr:to>
      <xdr:col>10</xdr:col>
      <xdr:colOff>0</xdr:colOff>
      <xdr:row>14</xdr:row>
      <xdr:rowOff>36285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F9220EF7-02FF-844B-AD8C-E8196BCA8E41}"/>
            </a:ext>
          </a:extLst>
        </xdr:cNvPr>
        <xdr:cNvGrpSpPr/>
      </xdr:nvGrpSpPr>
      <xdr:grpSpPr>
        <a:xfrm>
          <a:off x="6223000" y="3161392"/>
          <a:ext cx="2667000" cy="1764393"/>
          <a:chOff x="7403600" y="19633475"/>
          <a:chExt cx="1431609" cy="2135415"/>
        </a:xfrm>
      </xdr:grpSpPr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1704C0A6-6B88-B648-2886-B29764E93695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C5A54753-A930-C6B5-6A16-E59A81E28B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A464D569-C027-641C-4D42-1E5D5CF924BA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6D29EA83-D9FF-BA63-19C2-2DC1B4B13EB1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11</xdr:col>
      <xdr:colOff>0</xdr:colOff>
      <xdr:row>8</xdr:row>
      <xdr:rowOff>337456</xdr:rowOff>
    </xdr:from>
    <xdr:to>
      <xdr:col>14</xdr:col>
      <xdr:colOff>0</xdr:colOff>
      <xdr:row>14</xdr:row>
      <xdr:rowOff>72571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93CB5695-3E3B-9141-8D8A-F2B1AFF56741}"/>
            </a:ext>
          </a:extLst>
        </xdr:cNvPr>
        <xdr:cNvGrpSpPr/>
      </xdr:nvGrpSpPr>
      <xdr:grpSpPr>
        <a:xfrm>
          <a:off x="9779000" y="3131456"/>
          <a:ext cx="2667000" cy="1830615"/>
          <a:chOff x="7403600" y="19633475"/>
          <a:chExt cx="1431609" cy="2135415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3B917F34-07D6-B753-8E16-15E02412A744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ADAE09DC-BF03-FB92-FFEF-189DA7B359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FC61636D-6B3E-ADD2-ED8A-E0902B03A8E5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C1ED77D4-F4FD-0DA0-BFB2-18F54DB5F461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14</xdr:col>
      <xdr:colOff>0</xdr:colOff>
      <xdr:row>10</xdr:row>
      <xdr:rowOff>21772</xdr:rowOff>
    </xdr:from>
    <xdr:to>
      <xdr:col>15</xdr:col>
      <xdr:colOff>31750</xdr:colOff>
      <xdr:row>13</xdr:row>
      <xdr:rowOff>78922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DC8E37B3-E6BB-E648-9A29-126D5B2CAE64}"/>
            </a:ext>
          </a:extLst>
        </xdr:cNvPr>
        <xdr:cNvGrpSpPr/>
      </xdr:nvGrpSpPr>
      <xdr:grpSpPr>
        <a:xfrm>
          <a:off x="12446000" y="3514272"/>
          <a:ext cx="920750" cy="1104900"/>
          <a:chOff x="486956" y="1091837"/>
          <a:chExt cx="1152433" cy="1261292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22635D22-F3F2-E787-CCE9-6F659612EBCA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63" name="Picture 62">
              <a:extLst>
                <a:ext uri="{FF2B5EF4-FFF2-40B4-BE49-F238E27FC236}">
                  <a16:creationId xmlns:a16="http://schemas.microsoft.com/office/drawing/2014/main" id="{ED0F26C6-1445-E1C8-1D3F-1CFD8B0BF1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9511B3A8-9590-D385-0CD1-AE4CD18CFB39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ECF73D41-E3B3-AD3E-1FC6-C0D24C5943D2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15</xdr:col>
      <xdr:colOff>14516</xdr:colOff>
      <xdr:row>9</xdr:row>
      <xdr:rowOff>18144</xdr:rowOff>
    </xdr:from>
    <xdr:to>
      <xdr:col>18</xdr:col>
      <xdr:colOff>0</xdr:colOff>
      <xdr:row>14</xdr:row>
      <xdr:rowOff>54430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A141B8DB-5565-4846-98B7-DF38CBD670B7}"/>
            </a:ext>
          </a:extLst>
        </xdr:cNvPr>
        <xdr:cNvGrpSpPr/>
      </xdr:nvGrpSpPr>
      <xdr:grpSpPr>
        <a:xfrm>
          <a:off x="13349516" y="3161394"/>
          <a:ext cx="2652484" cy="1782536"/>
          <a:chOff x="3655786" y="1115787"/>
          <a:chExt cx="1914071" cy="2485569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CA2D54A8-379E-C5B3-8A69-20C3C757108C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1AD39988-1E7E-F67E-FEDC-6E9D350698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70" name="Rectangle 69">
              <a:extLst>
                <a:ext uri="{FF2B5EF4-FFF2-40B4-BE49-F238E27FC236}">
                  <a16:creationId xmlns:a16="http://schemas.microsoft.com/office/drawing/2014/main" id="{C0DB163A-9CB9-82B5-CEFF-E87D111F4AEF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6A55E5D0-F2D2-2EDD-BC76-B86837EE6EA4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17</xdr:col>
      <xdr:colOff>857250</xdr:colOff>
      <xdr:row>8</xdr:row>
      <xdr:rowOff>176978</xdr:rowOff>
    </xdr:from>
    <xdr:to>
      <xdr:col>21</xdr:col>
      <xdr:colOff>31750</xdr:colOff>
      <xdr:row>14</xdr:row>
      <xdr:rowOff>225087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19CE36EA-2985-1642-B750-274C00E6716F}"/>
            </a:ext>
          </a:extLst>
        </xdr:cNvPr>
        <xdr:cNvGrpSpPr/>
      </xdr:nvGrpSpPr>
      <xdr:grpSpPr>
        <a:xfrm>
          <a:off x="15970250" y="2970978"/>
          <a:ext cx="2730500" cy="2143609"/>
          <a:chOff x="497628" y="4987473"/>
          <a:chExt cx="2398809" cy="2478313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C4322ADA-9A8E-5B54-AE7F-4ED78197D803}"/>
              </a:ext>
            </a:extLst>
          </xdr:cNvPr>
          <xdr:cNvGrpSpPr/>
        </xdr:nvGrpSpPr>
        <xdr:grpSpPr>
          <a:xfrm>
            <a:off x="497628" y="4987473"/>
            <a:ext cx="2398809" cy="2478313"/>
            <a:chOff x="1837990" y="3480968"/>
            <a:chExt cx="3205603" cy="969032"/>
          </a:xfrm>
        </xdr:grpSpPr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1CB1B4C2-C681-83E8-7448-4945A8B0E3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75264" y="3496103"/>
              <a:ext cx="2995072" cy="953897"/>
            </a:xfrm>
            <a:prstGeom prst="rect">
              <a:avLst/>
            </a:prstGeom>
          </xdr:spPr>
        </xdr:pic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9893CB3D-6A68-EE4E-B082-252184C02557}"/>
                </a:ext>
              </a:extLst>
            </xdr:cNvPr>
            <xdr:cNvSpPr/>
          </xdr:nvSpPr>
          <xdr:spPr>
            <a:xfrm>
              <a:off x="1837990" y="3480968"/>
              <a:ext cx="3205603" cy="9544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8A83D0F0-7427-3435-0BA4-589A20AF8DC5}"/>
              </a:ext>
            </a:extLst>
          </xdr:cNvPr>
          <xdr:cNvSpPr txBox="1"/>
        </xdr:nvSpPr>
        <xdr:spPr>
          <a:xfrm>
            <a:off x="1293989" y="5807089"/>
            <a:ext cx="1050402" cy="69347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no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21</xdr:col>
      <xdr:colOff>15876</xdr:colOff>
      <xdr:row>8</xdr:row>
      <xdr:rowOff>0</xdr:rowOff>
    </xdr:from>
    <xdr:to>
      <xdr:col>26</xdr:col>
      <xdr:colOff>18144</xdr:colOff>
      <xdr:row>15</xdr:row>
      <xdr:rowOff>72571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52451165-6147-3946-8BEB-DEC06B474D17}"/>
            </a:ext>
          </a:extLst>
        </xdr:cNvPr>
        <xdr:cNvGrpSpPr/>
      </xdr:nvGrpSpPr>
      <xdr:grpSpPr>
        <a:xfrm>
          <a:off x="18684876" y="2794000"/>
          <a:ext cx="4447268" cy="2517321"/>
          <a:chOff x="7446459" y="5303237"/>
          <a:chExt cx="3165928" cy="3018383"/>
        </a:xfrm>
      </xdr:grpSpPr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5D404C72-3CDE-443F-DA5F-B4E6545C226A}"/>
              </a:ext>
            </a:extLst>
          </xdr:cNvPr>
          <xdr:cNvGrpSpPr/>
        </xdr:nvGrpSpPr>
        <xdr:grpSpPr>
          <a:xfrm>
            <a:off x="7446459" y="5303237"/>
            <a:ext cx="3165928" cy="3018383"/>
            <a:chOff x="5998515" y="3579210"/>
            <a:chExt cx="3038285" cy="943131"/>
          </a:xfrm>
        </xdr:grpSpPr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994F00E5-2301-CA14-EB6B-B866AE0B02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25785" y="3580392"/>
              <a:ext cx="2999681" cy="937972"/>
            </a:xfrm>
            <a:prstGeom prst="rect">
              <a:avLst/>
            </a:prstGeom>
          </xdr:spPr>
        </xdr:pic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49B844CB-8B61-9EAF-F261-C16584C63C34}"/>
                </a:ext>
              </a:extLst>
            </xdr:cNvPr>
            <xdr:cNvSpPr/>
          </xdr:nvSpPr>
          <xdr:spPr>
            <a:xfrm>
              <a:off x="5998515" y="3579210"/>
              <a:ext cx="3038285" cy="94313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118DA4EF-80BD-5D5C-D3A3-89FA94E12CAA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11</xdr:row>
      <xdr:rowOff>18143</xdr:rowOff>
    </xdr:from>
    <xdr:to>
      <xdr:col>15</xdr:col>
      <xdr:colOff>0</xdr:colOff>
      <xdr:row>16</xdr:row>
      <xdr:rowOff>54429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F3396564-268A-4A4D-B81F-4F5C4B68862E}"/>
            </a:ext>
          </a:extLst>
        </xdr:cNvPr>
        <xdr:cNvGrpSpPr/>
      </xdr:nvGrpSpPr>
      <xdr:grpSpPr>
        <a:xfrm>
          <a:off x="12553054" y="3779297"/>
          <a:ext cx="879638" cy="1745901"/>
          <a:chOff x="3660365" y="19765723"/>
          <a:chExt cx="1168399" cy="1285796"/>
        </a:xfrm>
      </xdr:grpSpPr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0F86C9B5-7B8B-BBAE-B1C6-739BACB5B1B2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777325F0-A806-11D7-BBF4-33C6207CAC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E8194EBE-FBAD-AEA9-3817-5207E5A62D31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40AD2BE4-5890-BBD0-9134-A9EFBE21ED36}"/>
              </a:ext>
            </a:extLst>
          </xdr:cNvPr>
          <xdr:cNvSpPr/>
        </xdr:nvSpPr>
        <xdr:spPr>
          <a:xfrm>
            <a:off x="3884549" y="20015928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11</xdr:col>
      <xdr:colOff>0</xdr:colOff>
      <xdr:row>11</xdr:row>
      <xdr:rowOff>18142</xdr:rowOff>
    </xdr:from>
    <xdr:to>
      <xdr:col>14</xdr:col>
      <xdr:colOff>0</xdr:colOff>
      <xdr:row>16</xdr:row>
      <xdr:rowOff>36285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E21AC00F-5F74-8E4A-9A3B-20D79F99B01A}"/>
            </a:ext>
          </a:extLst>
        </xdr:cNvPr>
        <xdr:cNvGrpSpPr/>
      </xdr:nvGrpSpPr>
      <xdr:grpSpPr>
        <a:xfrm>
          <a:off x="9850641" y="3779296"/>
          <a:ext cx="2686538" cy="1727758"/>
          <a:chOff x="7403600" y="19633475"/>
          <a:chExt cx="1431609" cy="2135415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DAC5F5FB-A69F-C7CB-9447-1C1936598790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86" name="Picture 85">
              <a:extLst>
                <a:ext uri="{FF2B5EF4-FFF2-40B4-BE49-F238E27FC236}">
                  <a16:creationId xmlns:a16="http://schemas.microsoft.com/office/drawing/2014/main" id="{EA5B2532-A628-F790-BCA2-85120944D8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87" name="Rectangle 86">
              <a:extLst>
                <a:ext uri="{FF2B5EF4-FFF2-40B4-BE49-F238E27FC236}">
                  <a16:creationId xmlns:a16="http://schemas.microsoft.com/office/drawing/2014/main" id="{CA415112-23E1-9985-D967-7E13409170C6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2A9E6C39-F0CD-A71B-87D6-797CE8AB3D79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15</xdr:col>
      <xdr:colOff>0</xdr:colOff>
      <xdr:row>10</xdr:row>
      <xdr:rowOff>337456</xdr:rowOff>
    </xdr:from>
    <xdr:to>
      <xdr:col>17</xdr:col>
      <xdr:colOff>879231</xdr:colOff>
      <xdr:row>16</xdr:row>
      <xdr:rowOff>72571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9A5E0A49-8340-5A47-990D-90D07AAB5067}"/>
            </a:ext>
          </a:extLst>
        </xdr:cNvPr>
        <xdr:cNvGrpSpPr/>
      </xdr:nvGrpSpPr>
      <xdr:grpSpPr>
        <a:xfrm>
          <a:off x="13432692" y="3756687"/>
          <a:ext cx="2670257" cy="1786653"/>
          <a:chOff x="7403600" y="19633475"/>
          <a:chExt cx="1431609" cy="2135415"/>
        </a:xfrm>
      </xdr:grpSpPr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E3EF33CB-F524-8E0E-23C6-89E648937837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91" name="Picture 90">
              <a:extLst>
                <a:ext uri="{FF2B5EF4-FFF2-40B4-BE49-F238E27FC236}">
                  <a16:creationId xmlns:a16="http://schemas.microsoft.com/office/drawing/2014/main" id="{3A60D923-60F6-D7A7-5A77-EA9E76255F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DE9B5D23-68B7-4712-605D-2B0AF126A631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A3694B1B-74BD-38F7-5C3F-EE0C33C28F1E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18</xdr:col>
      <xdr:colOff>0</xdr:colOff>
      <xdr:row>12</xdr:row>
      <xdr:rowOff>21772</xdr:rowOff>
    </xdr:from>
    <xdr:to>
      <xdr:col>19</xdr:col>
      <xdr:colOff>31750</xdr:colOff>
      <xdr:row>15</xdr:row>
      <xdr:rowOff>78922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10F84C15-098B-324C-BB4F-FC176F1B0A6E}"/>
            </a:ext>
          </a:extLst>
        </xdr:cNvPr>
        <xdr:cNvGrpSpPr/>
      </xdr:nvGrpSpPr>
      <xdr:grpSpPr>
        <a:xfrm>
          <a:off x="16119231" y="4124849"/>
          <a:ext cx="927263" cy="1082919"/>
          <a:chOff x="486956" y="1091837"/>
          <a:chExt cx="1152433" cy="1261292"/>
        </a:xfrm>
      </xdr:grpSpPr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A27E0723-D98A-384C-9A57-BD28F64B873B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96" name="Picture 95">
              <a:extLst>
                <a:ext uri="{FF2B5EF4-FFF2-40B4-BE49-F238E27FC236}">
                  <a16:creationId xmlns:a16="http://schemas.microsoft.com/office/drawing/2014/main" id="{97AC4F43-D37C-5D78-CCD0-48D9BE15A7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D693778F-DF45-8475-CE3A-03FFB46678E4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4E20D403-98EF-580D-E827-40AA96108E82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19</xdr:col>
      <xdr:colOff>14516</xdr:colOff>
      <xdr:row>11</xdr:row>
      <xdr:rowOff>18144</xdr:rowOff>
    </xdr:from>
    <xdr:to>
      <xdr:col>22</xdr:col>
      <xdr:colOff>0</xdr:colOff>
      <xdr:row>16</xdr:row>
      <xdr:rowOff>54430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F9601607-D65E-BB4B-8BA6-4538DA620F11}"/>
            </a:ext>
          </a:extLst>
        </xdr:cNvPr>
        <xdr:cNvGrpSpPr/>
      </xdr:nvGrpSpPr>
      <xdr:grpSpPr>
        <a:xfrm>
          <a:off x="17029260" y="3779298"/>
          <a:ext cx="2672022" cy="1745901"/>
          <a:chOff x="3655786" y="1115787"/>
          <a:chExt cx="1914071" cy="2485569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6D098C3C-3947-5FFB-0801-009DCDA49C71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101" name="Picture 100">
              <a:extLst>
                <a:ext uri="{FF2B5EF4-FFF2-40B4-BE49-F238E27FC236}">
                  <a16:creationId xmlns:a16="http://schemas.microsoft.com/office/drawing/2014/main" id="{9E9C442E-8B8E-C49D-44F9-4B65534B3F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7F5ED48F-F0F7-0A7F-1A8A-4E110282706E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A8F1C89F-53FA-9D4F-957A-900DD4DC2AC9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21</xdr:col>
      <xdr:colOff>857250</xdr:colOff>
      <xdr:row>10</xdr:row>
      <xdr:rowOff>176978</xdr:rowOff>
    </xdr:from>
    <xdr:to>
      <xdr:col>25</xdr:col>
      <xdr:colOff>31750</xdr:colOff>
      <xdr:row>16</xdr:row>
      <xdr:rowOff>225087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7E01ADDD-BC7A-8143-9ECF-A09169717538}"/>
            </a:ext>
          </a:extLst>
        </xdr:cNvPr>
        <xdr:cNvGrpSpPr/>
      </xdr:nvGrpSpPr>
      <xdr:grpSpPr>
        <a:xfrm>
          <a:off x="19663019" y="3596209"/>
          <a:ext cx="2756552" cy="2099647"/>
          <a:chOff x="497628" y="4987473"/>
          <a:chExt cx="2398809" cy="2478313"/>
        </a:xfrm>
      </xdr:grpSpPr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7D834DE4-28EA-08BB-CBA9-861CF9FCC3FE}"/>
              </a:ext>
            </a:extLst>
          </xdr:cNvPr>
          <xdr:cNvGrpSpPr/>
        </xdr:nvGrpSpPr>
        <xdr:grpSpPr>
          <a:xfrm>
            <a:off x="497628" y="4987473"/>
            <a:ext cx="2398809" cy="2478313"/>
            <a:chOff x="1837990" y="3480968"/>
            <a:chExt cx="3205603" cy="969032"/>
          </a:xfrm>
        </xdr:grpSpPr>
        <xdr:pic>
          <xdr:nvPicPr>
            <xdr:cNvPr id="106" name="Picture 105">
              <a:extLst>
                <a:ext uri="{FF2B5EF4-FFF2-40B4-BE49-F238E27FC236}">
                  <a16:creationId xmlns:a16="http://schemas.microsoft.com/office/drawing/2014/main" id="{F7675EC7-E2AC-9C22-1085-8E430C3310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75264" y="3496103"/>
              <a:ext cx="2995072" cy="953897"/>
            </a:xfrm>
            <a:prstGeom prst="rect">
              <a:avLst/>
            </a:prstGeom>
          </xdr:spPr>
        </xdr:pic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0F137667-0AD3-A7B7-643D-D764E3C93E5E}"/>
                </a:ext>
              </a:extLst>
            </xdr:cNvPr>
            <xdr:cNvSpPr/>
          </xdr:nvSpPr>
          <xdr:spPr>
            <a:xfrm>
              <a:off x="1837990" y="3480968"/>
              <a:ext cx="3205603" cy="9544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47E9F0F6-C911-8AD8-DA0C-0438B06B5A6A}"/>
              </a:ext>
            </a:extLst>
          </xdr:cNvPr>
          <xdr:cNvSpPr txBox="1"/>
        </xdr:nvSpPr>
        <xdr:spPr>
          <a:xfrm>
            <a:off x="1293989" y="5807089"/>
            <a:ext cx="1050402" cy="69347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no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25</xdr:col>
      <xdr:colOff>15876</xdr:colOff>
      <xdr:row>10</xdr:row>
      <xdr:rowOff>0</xdr:rowOff>
    </xdr:from>
    <xdr:to>
      <xdr:col>30</xdr:col>
      <xdr:colOff>18144</xdr:colOff>
      <xdr:row>17</xdr:row>
      <xdr:rowOff>72571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EC509074-36B7-4943-AB2F-AFA64AB695A9}"/>
            </a:ext>
          </a:extLst>
        </xdr:cNvPr>
        <xdr:cNvGrpSpPr/>
      </xdr:nvGrpSpPr>
      <xdr:grpSpPr>
        <a:xfrm>
          <a:off x="22403697" y="3419231"/>
          <a:ext cx="4479832" cy="2466032"/>
          <a:chOff x="7446459" y="5303237"/>
          <a:chExt cx="3165928" cy="3018383"/>
        </a:xfrm>
      </xdr:grpSpPr>
      <xdr:grpSp>
        <xdr:nvGrpSpPr>
          <xdr:cNvPr id="109" name="Group 108">
            <a:extLst>
              <a:ext uri="{FF2B5EF4-FFF2-40B4-BE49-F238E27FC236}">
                <a16:creationId xmlns:a16="http://schemas.microsoft.com/office/drawing/2014/main" id="{794A1D15-DC53-1F12-CEC5-25404D9963E0}"/>
              </a:ext>
            </a:extLst>
          </xdr:cNvPr>
          <xdr:cNvGrpSpPr/>
        </xdr:nvGrpSpPr>
        <xdr:grpSpPr>
          <a:xfrm>
            <a:off x="7446459" y="5303237"/>
            <a:ext cx="3165928" cy="3018383"/>
            <a:chOff x="5998515" y="3579210"/>
            <a:chExt cx="3038285" cy="943131"/>
          </a:xfrm>
        </xdr:grpSpPr>
        <xdr:pic>
          <xdr:nvPicPr>
            <xdr:cNvPr id="111" name="Picture 110">
              <a:extLst>
                <a:ext uri="{FF2B5EF4-FFF2-40B4-BE49-F238E27FC236}">
                  <a16:creationId xmlns:a16="http://schemas.microsoft.com/office/drawing/2014/main" id="{E1779A49-7081-25E8-151E-E6991C036C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25785" y="3580392"/>
              <a:ext cx="2999681" cy="937972"/>
            </a:xfrm>
            <a:prstGeom prst="rect">
              <a:avLst/>
            </a:prstGeom>
          </xdr:spPr>
        </xdr:pic>
        <xdr:sp macro="" textlink="">
          <xdr:nvSpPr>
            <xdr:cNvPr id="112" name="Rectangle 111">
              <a:extLst>
                <a:ext uri="{FF2B5EF4-FFF2-40B4-BE49-F238E27FC236}">
                  <a16:creationId xmlns:a16="http://schemas.microsoft.com/office/drawing/2014/main" id="{2B5AD383-ADE5-C6A9-3D2D-276F48AF03FF}"/>
                </a:ext>
              </a:extLst>
            </xdr:cNvPr>
            <xdr:cNvSpPr/>
          </xdr:nvSpPr>
          <xdr:spPr>
            <a:xfrm>
              <a:off x="5998515" y="3579210"/>
              <a:ext cx="3038285" cy="94313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ACB82CB1-3662-2FD7-98B3-FDFB587883D9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13</xdr:col>
      <xdr:colOff>521025</xdr:colOff>
      <xdr:row>10</xdr:row>
      <xdr:rowOff>325641</xdr:rowOff>
    </xdr:from>
    <xdr:to>
      <xdr:col>14</xdr:col>
      <xdr:colOff>211668</xdr:colOff>
      <xdr:row>12</xdr:row>
      <xdr:rowOff>130256</xdr:rowOff>
    </xdr:to>
    <xdr:sp macro="" textlink="">
      <xdr:nvSpPr>
        <xdr:cNvPr id="113" name="Right Arrow 112">
          <a:extLst>
            <a:ext uri="{FF2B5EF4-FFF2-40B4-BE49-F238E27FC236}">
              <a16:creationId xmlns:a16="http://schemas.microsoft.com/office/drawing/2014/main" id="{AA7DCE20-E199-024B-BE32-3EDD2FB145FF}"/>
            </a:ext>
          </a:extLst>
        </xdr:cNvPr>
        <xdr:cNvSpPr/>
      </xdr:nvSpPr>
      <xdr:spPr>
        <a:xfrm>
          <a:off x="12162692" y="3744872"/>
          <a:ext cx="586155" cy="488461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586154</xdr:colOff>
      <xdr:row>14</xdr:row>
      <xdr:rowOff>260513</xdr:rowOff>
    </xdr:from>
    <xdr:to>
      <xdr:col>15</xdr:col>
      <xdr:colOff>260513</xdr:colOff>
      <xdr:row>16</xdr:row>
      <xdr:rowOff>21470</xdr:rowOff>
    </xdr:to>
    <xdr:sp macro="" textlink="">
      <xdr:nvSpPr>
        <xdr:cNvPr id="114" name="Right Arrow 113">
          <a:extLst>
            <a:ext uri="{FF2B5EF4-FFF2-40B4-BE49-F238E27FC236}">
              <a16:creationId xmlns:a16="http://schemas.microsoft.com/office/drawing/2014/main" id="{429FE749-64D0-F540-930A-6ACBED4EBF98}"/>
            </a:ext>
          </a:extLst>
        </xdr:cNvPr>
        <xdr:cNvSpPr/>
      </xdr:nvSpPr>
      <xdr:spPr>
        <a:xfrm>
          <a:off x="14914359" y="5047436"/>
          <a:ext cx="569872" cy="44480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700128</xdr:colOff>
      <xdr:row>14</xdr:row>
      <xdr:rowOff>0</xdr:rowOff>
    </xdr:from>
    <xdr:to>
      <xdr:col>19</xdr:col>
      <xdr:colOff>374487</xdr:colOff>
      <xdr:row>15</xdr:row>
      <xdr:rowOff>102880</xdr:rowOff>
    </xdr:to>
    <xdr:sp macro="" textlink="">
      <xdr:nvSpPr>
        <xdr:cNvPr id="116" name="Right Arrow 115">
          <a:extLst>
            <a:ext uri="{FF2B5EF4-FFF2-40B4-BE49-F238E27FC236}">
              <a16:creationId xmlns:a16="http://schemas.microsoft.com/office/drawing/2014/main" id="{2A4EC63E-1C35-9042-A1F7-DF389036111E}"/>
            </a:ext>
          </a:extLst>
        </xdr:cNvPr>
        <xdr:cNvSpPr/>
      </xdr:nvSpPr>
      <xdr:spPr>
        <a:xfrm>
          <a:off x="20401410" y="4786923"/>
          <a:ext cx="569872" cy="44480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569870</xdr:colOff>
      <xdr:row>12</xdr:row>
      <xdr:rowOff>244231</xdr:rowOff>
    </xdr:from>
    <xdr:to>
      <xdr:col>22</xdr:col>
      <xdr:colOff>244230</xdr:colOff>
      <xdr:row>14</xdr:row>
      <xdr:rowOff>5188</xdr:rowOff>
    </xdr:to>
    <xdr:sp macro="" textlink="">
      <xdr:nvSpPr>
        <xdr:cNvPr id="117" name="Right Arrow 116">
          <a:extLst>
            <a:ext uri="{FF2B5EF4-FFF2-40B4-BE49-F238E27FC236}">
              <a16:creationId xmlns:a16="http://schemas.microsoft.com/office/drawing/2014/main" id="{EC289E7C-5607-FD44-96E7-BF236B33F149}"/>
            </a:ext>
          </a:extLst>
        </xdr:cNvPr>
        <xdr:cNvSpPr/>
      </xdr:nvSpPr>
      <xdr:spPr>
        <a:xfrm>
          <a:off x="22957691" y="4347308"/>
          <a:ext cx="569872" cy="44480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771117</xdr:colOff>
      <xdr:row>12</xdr:row>
      <xdr:rowOff>54709</xdr:rowOff>
    </xdr:from>
    <xdr:to>
      <xdr:col>25</xdr:col>
      <xdr:colOff>445476</xdr:colOff>
      <xdr:row>13</xdr:row>
      <xdr:rowOff>157589</xdr:rowOff>
    </xdr:to>
    <xdr:sp macro="" textlink="">
      <xdr:nvSpPr>
        <xdr:cNvPr id="118" name="Right Arrow 117">
          <a:extLst>
            <a:ext uri="{FF2B5EF4-FFF2-40B4-BE49-F238E27FC236}">
              <a16:creationId xmlns:a16="http://schemas.microsoft.com/office/drawing/2014/main" id="{A545A993-0840-2642-A2C6-D7E8FC13C2CF}"/>
            </a:ext>
          </a:extLst>
        </xdr:cNvPr>
        <xdr:cNvSpPr/>
      </xdr:nvSpPr>
      <xdr:spPr>
        <a:xfrm>
          <a:off x="25845476" y="4157786"/>
          <a:ext cx="569872" cy="44480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504743</xdr:colOff>
      <xdr:row>12</xdr:row>
      <xdr:rowOff>0</xdr:rowOff>
    </xdr:from>
    <xdr:to>
      <xdr:col>18</xdr:col>
      <xdr:colOff>179102</xdr:colOff>
      <xdr:row>13</xdr:row>
      <xdr:rowOff>102880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31C1F524-6957-F34E-8544-EB0A1B4F062F}"/>
            </a:ext>
          </a:extLst>
        </xdr:cNvPr>
        <xdr:cNvSpPr/>
      </xdr:nvSpPr>
      <xdr:spPr>
        <a:xfrm>
          <a:off x="15728461" y="4103077"/>
          <a:ext cx="569872" cy="444803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0</xdr:rowOff>
    </xdr:from>
    <xdr:to>
      <xdr:col>6</xdr:col>
      <xdr:colOff>84668</xdr:colOff>
      <xdr:row>20</xdr:row>
      <xdr:rowOff>449059</xdr:rowOff>
    </xdr:to>
    <xdr:sp macro="" textlink="">
      <xdr:nvSpPr>
        <xdr:cNvPr id="83" name="Right Arrow 82">
          <a:extLst>
            <a:ext uri="{FF2B5EF4-FFF2-40B4-BE49-F238E27FC236}">
              <a16:creationId xmlns:a16="http://schemas.microsoft.com/office/drawing/2014/main" id="{95956487-A8CF-EE44-8207-F1CF654F72CD}"/>
            </a:ext>
          </a:extLst>
        </xdr:cNvPr>
        <xdr:cNvSpPr/>
      </xdr:nvSpPr>
      <xdr:spPr>
        <a:xfrm>
          <a:off x="3175000" y="10160000"/>
          <a:ext cx="719668" cy="4490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15875</xdr:colOff>
      <xdr:row>11</xdr:row>
      <xdr:rowOff>18143</xdr:rowOff>
    </xdr:from>
    <xdr:to>
      <xdr:col>11</xdr:col>
      <xdr:colOff>0</xdr:colOff>
      <xdr:row>16</xdr:row>
      <xdr:rowOff>54429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DC0461A-4D0B-7A4F-B3BA-7E45EFE43268}"/>
            </a:ext>
          </a:extLst>
        </xdr:cNvPr>
        <xdr:cNvGrpSpPr/>
      </xdr:nvGrpSpPr>
      <xdr:grpSpPr>
        <a:xfrm>
          <a:off x="6365875" y="5606143"/>
          <a:ext cx="619125" cy="2576286"/>
          <a:chOff x="3660365" y="19765723"/>
          <a:chExt cx="1168399" cy="128579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1863449-519D-3F88-1BF9-698A49733B46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C7368EF-AD96-8D1C-CE1A-6C624DFD4D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E11CE23-AC2F-775B-CA26-91F33C3F4B99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73A4914-E7DD-E29A-025A-EFAED6D6AABD}"/>
              </a:ext>
            </a:extLst>
          </xdr:cNvPr>
          <xdr:cNvSpPr/>
        </xdr:nvSpPr>
        <xdr:spPr>
          <a:xfrm>
            <a:off x="3884549" y="20015928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7</xdr:col>
      <xdr:colOff>15875</xdr:colOff>
      <xdr:row>11</xdr:row>
      <xdr:rowOff>18142</xdr:rowOff>
    </xdr:from>
    <xdr:to>
      <xdr:col>10</xdr:col>
      <xdr:colOff>15875</xdr:colOff>
      <xdr:row>16</xdr:row>
      <xdr:rowOff>36285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E8D240B-5EF9-6148-921F-61B33B7905AF}"/>
            </a:ext>
          </a:extLst>
        </xdr:cNvPr>
        <xdr:cNvGrpSpPr/>
      </xdr:nvGrpSpPr>
      <xdr:grpSpPr>
        <a:xfrm>
          <a:off x="4460875" y="5606142"/>
          <a:ext cx="1905000" cy="2558143"/>
          <a:chOff x="7403600" y="19633475"/>
          <a:chExt cx="1431609" cy="213541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4C982BA-0D9B-0B31-DD5F-962E5BC555E1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C791D37C-2143-920D-7291-76B08B71E9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BB91CBCE-E559-75C3-2655-A6E485386614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4E46A74-FCCA-09D7-E342-B460CC8428C9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11</xdr:col>
      <xdr:colOff>0</xdr:colOff>
      <xdr:row>10</xdr:row>
      <xdr:rowOff>337456</xdr:rowOff>
    </xdr:from>
    <xdr:to>
      <xdr:col>14</xdr:col>
      <xdr:colOff>2931</xdr:colOff>
      <xdr:row>16</xdr:row>
      <xdr:rowOff>72571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FCCFBEB-8A43-AD46-9ED1-E9E7DE11F322}"/>
            </a:ext>
          </a:extLst>
        </xdr:cNvPr>
        <xdr:cNvGrpSpPr/>
      </xdr:nvGrpSpPr>
      <xdr:grpSpPr>
        <a:xfrm>
          <a:off x="6985000" y="5417456"/>
          <a:ext cx="1907931" cy="2783115"/>
          <a:chOff x="7403600" y="19633475"/>
          <a:chExt cx="1431609" cy="2135415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2FFFF1C-4CCC-FC13-8ED8-FE21C3DA1889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88AF6D79-954F-D2B1-A538-D519684145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F22240E2-F774-1F4D-6CF5-12465AB746F1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E9234A6-1FDC-BEFD-6A83-107C103350DE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14</xdr:col>
      <xdr:colOff>0</xdr:colOff>
      <xdr:row>12</xdr:row>
      <xdr:rowOff>21772</xdr:rowOff>
    </xdr:from>
    <xdr:to>
      <xdr:col>15</xdr:col>
      <xdr:colOff>31750</xdr:colOff>
      <xdr:row>15</xdr:row>
      <xdr:rowOff>78922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E092DC1-52AC-F24F-98C0-DD1CA05C5A16}"/>
            </a:ext>
          </a:extLst>
        </xdr:cNvPr>
        <xdr:cNvGrpSpPr/>
      </xdr:nvGrpSpPr>
      <xdr:grpSpPr>
        <a:xfrm>
          <a:off x="8890000" y="6117772"/>
          <a:ext cx="666750" cy="1581150"/>
          <a:chOff x="486956" y="1091837"/>
          <a:chExt cx="1152433" cy="1261292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219269B-55B7-59AA-AB47-0EE804C56188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9043C3C3-0EAB-EBD5-C4D3-6C1BEA227B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80B090A4-8D59-DB9F-DC0C-E2E26CAC2112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3672D8EB-137C-E60D-A60A-2035C5F7E61A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15</xdr:col>
      <xdr:colOff>14516</xdr:colOff>
      <xdr:row>11</xdr:row>
      <xdr:rowOff>18144</xdr:rowOff>
    </xdr:from>
    <xdr:to>
      <xdr:col>18</xdr:col>
      <xdr:colOff>0</xdr:colOff>
      <xdr:row>16</xdr:row>
      <xdr:rowOff>54430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7077A10-62EC-E54E-BFC3-26917E453627}"/>
            </a:ext>
          </a:extLst>
        </xdr:cNvPr>
        <xdr:cNvGrpSpPr/>
      </xdr:nvGrpSpPr>
      <xdr:grpSpPr>
        <a:xfrm>
          <a:off x="9539516" y="5606144"/>
          <a:ext cx="1890484" cy="2576286"/>
          <a:chOff x="3655786" y="1115787"/>
          <a:chExt cx="1914071" cy="2485569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AB690505-3AEB-F4EE-8946-944229850237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BEE9CBF1-05DD-F18E-2C44-F486904736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5002A1B0-AA9C-8904-72CC-592A251480C3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5E6D4D1-E424-1149-97AD-1DA0BE173969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17</xdr:col>
      <xdr:colOff>628650</xdr:colOff>
      <xdr:row>10</xdr:row>
      <xdr:rowOff>176978</xdr:rowOff>
    </xdr:from>
    <xdr:to>
      <xdr:col>21</xdr:col>
      <xdr:colOff>31750</xdr:colOff>
      <xdr:row>16</xdr:row>
      <xdr:rowOff>225087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4D0BF46-59BA-1240-A059-E4513D7ADF5A}"/>
            </a:ext>
          </a:extLst>
        </xdr:cNvPr>
        <xdr:cNvGrpSpPr/>
      </xdr:nvGrpSpPr>
      <xdr:grpSpPr>
        <a:xfrm>
          <a:off x="11423650" y="5256978"/>
          <a:ext cx="1943100" cy="3096109"/>
          <a:chOff x="497628" y="4987473"/>
          <a:chExt cx="2398809" cy="2478313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BBEFFEC3-59B3-4461-FC41-73E5410EF0C6}"/>
              </a:ext>
            </a:extLst>
          </xdr:cNvPr>
          <xdr:cNvGrpSpPr/>
        </xdr:nvGrpSpPr>
        <xdr:grpSpPr>
          <a:xfrm>
            <a:off x="497628" y="4987473"/>
            <a:ext cx="2398809" cy="2478313"/>
            <a:chOff x="1837990" y="3480968"/>
            <a:chExt cx="3205603" cy="969032"/>
          </a:xfrm>
        </xdr:grpSpPr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0836EE12-40BD-D71C-B20F-0C1C02D5A8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75264" y="3496103"/>
              <a:ext cx="2995072" cy="953897"/>
            </a:xfrm>
            <a:prstGeom prst="rect">
              <a:avLst/>
            </a:prstGeom>
          </xdr:spPr>
        </xdr:pic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BBEE8C19-7BE6-CD3D-6D02-F95FF6C3433C}"/>
                </a:ext>
              </a:extLst>
            </xdr:cNvPr>
            <xdr:cNvSpPr/>
          </xdr:nvSpPr>
          <xdr:spPr>
            <a:xfrm>
              <a:off x="1837990" y="3480968"/>
              <a:ext cx="3205603" cy="9544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B244FB6A-B4D4-D3C2-0A3A-0A4D70583FF0}"/>
              </a:ext>
            </a:extLst>
          </xdr:cNvPr>
          <xdr:cNvSpPr txBox="1"/>
        </xdr:nvSpPr>
        <xdr:spPr>
          <a:xfrm>
            <a:off x="1293989" y="5807089"/>
            <a:ext cx="1050402" cy="69347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no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21</xdr:col>
      <xdr:colOff>15876</xdr:colOff>
      <xdr:row>10</xdr:row>
      <xdr:rowOff>0</xdr:rowOff>
    </xdr:from>
    <xdr:to>
      <xdr:col>26</xdr:col>
      <xdr:colOff>18144</xdr:colOff>
      <xdr:row>17</xdr:row>
      <xdr:rowOff>72571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7A259A12-FA1A-B14B-A08E-860E11C1CB90}"/>
            </a:ext>
          </a:extLst>
        </xdr:cNvPr>
        <xdr:cNvGrpSpPr/>
      </xdr:nvGrpSpPr>
      <xdr:grpSpPr>
        <a:xfrm>
          <a:off x="13350876" y="5080000"/>
          <a:ext cx="3177268" cy="3628571"/>
          <a:chOff x="7446459" y="5303237"/>
          <a:chExt cx="3165928" cy="3018383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726A282F-89F6-C059-6A83-D3DD42E3DB86}"/>
              </a:ext>
            </a:extLst>
          </xdr:cNvPr>
          <xdr:cNvGrpSpPr/>
        </xdr:nvGrpSpPr>
        <xdr:grpSpPr>
          <a:xfrm>
            <a:off x="7446459" y="5303237"/>
            <a:ext cx="3165928" cy="3018383"/>
            <a:chOff x="5998515" y="3579210"/>
            <a:chExt cx="3038285" cy="943131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C255912F-3E74-A5DC-B8C3-3DA3DAB4E6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25785" y="3580392"/>
              <a:ext cx="2999681" cy="937972"/>
            </a:xfrm>
            <a:prstGeom prst="rect">
              <a:avLst/>
            </a:prstGeom>
          </xdr:spPr>
        </xdr:pic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5BCA6D75-320D-8330-2E9F-F6646489698F}"/>
                </a:ext>
              </a:extLst>
            </xdr:cNvPr>
            <xdr:cNvSpPr/>
          </xdr:nvSpPr>
          <xdr:spPr>
            <a:xfrm>
              <a:off x="5998515" y="3579210"/>
              <a:ext cx="3038285" cy="94313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CEAB2FFA-576E-3F0D-0B31-F74839F3F6B8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9</xdr:col>
      <xdr:colOff>79375</xdr:colOff>
      <xdr:row>11</xdr:row>
      <xdr:rowOff>95250</xdr:rowOff>
    </xdr:from>
    <xdr:to>
      <xdr:col>10</xdr:col>
      <xdr:colOff>285750</xdr:colOff>
      <xdr:row>12</xdr:row>
      <xdr:rowOff>95250</xdr:rowOff>
    </xdr:to>
    <xdr:sp macro="" textlink="">
      <xdr:nvSpPr>
        <xdr:cNvPr id="37" name="Right Arrow 36">
          <a:extLst>
            <a:ext uri="{FF2B5EF4-FFF2-40B4-BE49-F238E27FC236}">
              <a16:creationId xmlns:a16="http://schemas.microsoft.com/office/drawing/2014/main" id="{D7CE3318-399F-4D41-A05C-C549BD018A84}"/>
            </a:ext>
          </a:extLst>
        </xdr:cNvPr>
        <xdr:cNvSpPr/>
      </xdr:nvSpPr>
      <xdr:spPr>
        <a:xfrm>
          <a:off x="5794375" y="5683250"/>
          <a:ext cx="841375" cy="508000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333376</xdr:colOff>
      <xdr:row>14</xdr:row>
      <xdr:rowOff>387514</xdr:rowOff>
    </xdr:from>
    <xdr:to>
      <xdr:col>11</xdr:col>
      <xdr:colOff>444500</xdr:colOff>
      <xdr:row>15</xdr:row>
      <xdr:rowOff>396876</xdr:rowOff>
    </xdr:to>
    <xdr:sp macro="" textlink="">
      <xdr:nvSpPr>
        <xdr:cNvPr id="38" name="Right Arrow 37">
          <a:extLst>
            <a:ext uri="{FF2B5EF4-FFF2-40B4-BE49-F238E27FC236}">
              <a16:creationId xmlns:a16="http://schemas.microsoft.com/office/drawing/2014/main" id="{32D95E21-54C9-344F-9B57-708A96E42D9D}"/>
            </a:ext>
          </a:extLst>
        </xdr:cNvPr>
        <xdr:cNvSpPr/>
      </xdr:nvSpPr>
      <xdr:spPr>
        <a:xfrm>
          <a:off x="6683376" y="7499514"/>
          <a:ext cx="746124" cy="517362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317500</xdr:colOff>
      <xdr:row>14</xdr:row>
      <xdr:rowOff>0</xdr:rowOff>
    </xdr:from>
    <xdr:to>
      <xdr:col>15</xdr:col>
      <xdr:colOff>619125</xdr:colOff>
      <xdr:row>14</xdr:row>
      <xdr:rowOff>492125</xdr:rowOff>
    </xdr:to>
    <xdr:sp macro="" textlink="">
      <xdr:nvSpPr>
        <xdr:cNvPr id="39" name="Right Arrow 38">
          <a:extLst>
            <a:ext uri="{FF2B5EF4-FFF2-40B4-BE49-F238E27FC236}">
              <a16:creationId xmlns:a16="http://schemas.microsoft.com/office/drawing/2014/main" id="{198520C3-9576-EE4B-8F87-0936D451D832}"/>
            </a:ext>
          </a:extLst>
        </xdr:cNvPr>
        <xdr:cNvSpPr/>
      </xdr:nvSpPr>
      <xdr:spPr>
        <a:xfrm>
          <a:off x="9207500" y="7112000"/>
          <a:ext cx="936625" cy="4921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95250</xdr:colOff>
      <xdr:row>12</xdr:row>
      <xdr:rowOff>244231</xdr:rowOff>
    </xdr:from>
    <xdr:to>
      <xdr:col>18</xdr:col>
      <xdr:colOff>244230</xdr:colOff>
      <xdr:row>13</xdr:row>
      <xdr:rowOff>190500</xdr:rowOff>
    </xdr:to>
    <xdr:sp macro="" textlink="">
      <xdr:nvSpPr>
        <xdr:cNvPr id="40" name="Right Arrow 39">
          <a:extLst>
            <a:ext uri="{FF2B5EF4-FFF2-40B4-BE49-F238E27FC236}">
              <a16:creationId xmlns:a16="http://schemas.microsoft.com/office/drawing/2014/main" id="{F140B8D5-8782-5549-BE06-A47AD5242B22}"/>
            </a:ext>
          </a:extLst>
        </xdr:cNvPr>
        <xdr:cNvSpPr/>
      </xdr:nvSpPr>
      <xdr:spPr>
        <a:xfrm>
          <a:off x="10890250" y="6340231"/>
          <a:ext cx="783980" cy="45426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206375</xdr:colOff>
      <xdr:row>12</xdr:row>
      <xdr:rowOff>54709</xdr:rowOff>
    </xdr:from>
    <xdr:to>
      <xdr:col>21</xdr:col>
      <xdr:colOff>445476</xdr:colOff>
      <xdr:row>12</xdr:row>
      <xdr:rowOff>412750</xdr:rowOff>
    </xdr:to>
    <xdr:sp macro="" textlink="">
      <xdr:nvSpPr>
        <xdr:cNvPr id="41" name="Right Arrow 40">
          <a:extLst>
            <a:ext uri="{FF2B5EF4-FFF2-40B4-BE49-F238E27FC236}">
              <a16:creationId xmlns:a16="http://schemas.microsoft.com/office/drawing/2014/main" id="{5DB9A805-CAE7-3C4F-AB26-20E76A48DB4A}"/>
            </a:ext>
          </a:extLst>
        </xdr:cNvPr>
        <xdr:cNvSpPr/>
      </xdr:nvSpPr>
      <xdr:spPr>
        <a:xfrm>
          <a:off x="12906375" y="6150709"/>
          <a:ext cx="874101" cy="358041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222250</xdr:colOff>
      <xdr:row>12</xdr:row>
      <xdr:rowOff>15875</xdr:rowOff>
    </xdr:from>
    <xdr:to>
      <xdr:col>14</xdr:col>
      <xdr:colOff>258477</xdr:colOff>
      <xdr:row>12</xdr:row>
      <xdr:rowOff>412750</xdr:rowOff>
    </xdr:to>
    <xdr:sp macro="" textlink="">
      <xdr:nvSpPr>
        <xdr:cNvPr id="42" name="Right Arrow 41">
          <a:extLst>
            <a:ext uri="{FF2B5EF4-FFF2-40B4-BE49-F238E27FC236}">
              <a16:creationId xmlns:a16="http://schemas.microsoft.com/office/drawing/2014/main" id="{B1978CF8-F88A-9D48-BDEA-B57DAB79AAF1}"/>
            </a:ext>
          </a:extLst>
        </xdr:cNvPr>
        <xdr:cNvSpPr/>
      </xdr:nvSpPr>
      <xdr:spPr>
        <a:xfrm>
          <a:off x="8477250" y="6111875"/>
          <a:ext cx="671227" cy="39687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AF0-78F0-6F4B-BA14-C26D135F90AF}">
  <dimension ref="C1:AB16"/>
  <sheetViews>
    <sheetView showGridLines="0" topLeftCell="A2" zoomScale="140" zoomScaleNormal="140" workbookViewId="0">
      <selection activeCell="X12" sqref="X12"/>
    </sheetView>
  </sheetViews>
  <sheetFormatPr baseColWidth="10" defaultColWidth="6" defaultRowHeight="25" customHeight="1" x14ac:dyDescent="0.2"/>
  <cols>
    <col min="20" max="21" width="6" style="9"/>
    <col min="22" max="22" width="19" style="9" bestFit="1" customWidth="1"/>
    <col min="23" max="23" width="9" style="9" bestFit="1" customWidth="1"/>
    <col min="24" max="24" width="7.5" style="9" bestFit="1" customWidth="1"/>
    <col min="25" max="25" width="12.1640625" style="9" bestFit="1" customWidth="1"/>
    <col min="26" max="28" width="6" style="9"/>
  </cols>
  <sheetData>
    <row r="1" spans="3:28" ht="27" customHeight="1" x14ac:dyDescent="0.2"/>
    <row r="3" spans="3:28" ht="25" customHeight="1" x14ac:dyDescent="0.2">
      <c r="C3" s="2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</row>
    <row r="4" spans="3:28" ht="25" customHeight="1" x14ac:dyDescent="0.2">
      <c r="C4" s="2" t="s">
        <v>0</v>
      </c>
      <c r="D4" s="1"/>
      <c r="E4" s="3">
        <v>20961.538461538501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T4" s="10"/>
      <c r="U4" s="11"/>
      <c r="V4" s="11"/>
      <c r="W4" s="12" t="s">
        <v>13</v>
      </c>
      <c r="X4" s="11">
        <f>SUM(D4:P16)</f>
        <v>125769.230769231</v>
      </c>
      <c r="Y4" s="11"/>
      <c r="Z4" s="11"/>
      <c r="AA4" s="11"/>
      <c r="AB4" s="11"/>
    </row>
    <row r="5" spans="3:28" ht="25" customHeight="1" x14ac:dyDescent="0.2">
      <c r="C5" s="2" t="s">
        <v>1</v>
      </c>
      <c r="D5" s="3">
        <v>20961.538461538501</v>
      </c>
      <c r="E5" s="1"/>
      <c r="F5" s="3">
        <v>20961.538461538501</v>
      </c>
      <c r="G5" s="1"/>
      <c r="H5" s="1"/>
      <c r="I5" s="1"/>
      <c r="J5" s="1"/>
      <c r="K5" s="1"/>
      <c r="L5" s="1"/>
      <c r="M5" s="1"/>
      <c r="N5" s="1"/>
      <c r="O5" s="1"/>
      <c r="P5" s="1"/>
      <c r="T5" s="11"/>
      <c r="U5" s="11"/>
      <c r="V5" s="11"/>
      <c r="W5" s="11"/>
      <c r="X5" s="11"/>
      <c r="Y5" s="12" t="s">
        <v>14</v>
      </c>
      <c r="Z5" s="12" t="s">
        <v>15</v>
      </c>
      <c r="AA5" s="11"/>
      <c r="AB5" s="11"/>
    </row>
    <row r="6" spans="3:28" ht="25" customHeight="1" x14ac:dyDescent="0.2">
      <c r="C6" s="2" t="s">
        <v>2</v>
      </c>
      <c r="D6" s="1"/>
      <c r="E6" s="1"/>
      <c r="F6" s="1"/>
      <c r="G6" s="3">
        <v>20961.538461538501</v>
      </c>
      <c r="H6" s="1"/>
      <c r="I6" s="1"/>
      <c r="J6" s="1"/>
      <c r="K6" s="1"/>
      <c r="L6" s="1"/>
      <c r="M6" s="1"/>
      <c r="N6" s="1"/>
      <c r="O6" s="1"/>
      <c r="P6" s="1"/>
      <c r="T6" s="13" t="s">
        <v>17</v>
      </c>
      <c r="U6" s="13"/>
      <c r="V6" s="13" t="s">
        <v>18</v>
      </c>
      <c r="W6" s="13"/>
      <c r="X6" s="13">
        <f>D5</f>
        <v>20961.538461538501</v>
      </c>
      <c r="Y6" s="14">
        <f>X6/$X$4</f>
        <v>0.16666666666666669</v>
      </c>
      <c r="Z6" s="15">
        <f>Y6</f>
        <v>0.16666666666666669</v>
      </c>
      <c r="AA6" s="5"/>
      <c r="AB6" s="6"/>
    </row>
    <row r="7" spans="3:28" ht="25" customHeight="1" x14ac:dyDescent="0.2">
      <c r="C7" s="2" t="s">
        <v>3</v>
      </c>
      <c r="D7" s="1"/>
      <c r="E7" s="1"/>
      <c r="F7" s="1"/>
      <c r="G7" s="1"/>
      <c r="H7" s="1"/>
      <c r="I7" s="1"/>
      <c r="J7" s="1"/>
      <c r="K7" s="1"/>
      <c r="L7" s="3">
        <v>20961.538461538501</v>
      </c>
      <c r="M7" s="1"/>
      <c r="N7" s="1"/>
      <c r="O7" s="1"/>
      <c r="P7" s="1"/>
      <c r="T7" s="13" t="s">
        <v>19</v>
      </c>
      <c r="U7" s="13"/>
      <c r="V7" s="13" t="s">
        <v>18</v>
      </c>
      <c r="W7" s="13"/>
      <c r="X7" s="13">
        <f>E4</f>
        <v>20961.538461538501</v>
      </c>
      <c r="Y7" s="14">
        <f t="shared" ref="Y7:Y11" si="0">X7/$X$4</f>
        <v>0.16666666666666669</v>
      </c>
      <c r="Z7" s="14">
        <f>Y7+Z6</f>
        <v>0.33333333333333337</v>
      </c>
      <c r="AA7" s="5"/>
      <c r="AB7" s="6"/>
    </row>
    <row r="8" spans="3:28" ht="25" customHeight="1" x14ac:dyDescent="0.2">
      <c r="C8" s="2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T8" s="13" t="s">
        <v>20</v>
      </c>
      <c r="U8" s="13"/>
      <c r="V8" s="13" t="s">
        <v>18</v>
      </c>
      <c r="W8" s="13"/>
      <c r="X8" s="13">
        <f>F5</f>
        <v>20961.538461538501</v>
      </c>
      <c r="Y8" s="14">
        <f t="shared" si="0"/>
        <v>0.16666666666666669</v>
      </c>
      <c r="Z8" s="14">
        <f>Y8+Z7</f>
        <v>0.5</v>
      </c>
      <c r="AA8" s="5"/>
      <c r="AB8" s="6"/>
    </row>
    <row r="9" spans="3:28" ht="25" customHeight="1" x14ac:dyDescent="0.2">
      <c r="C9" s="2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T9" s="13" t="s">
        <v>16</v>
      </c>
      <c r="U9" s="13"/>
      <c r="V9" s="13" t="s">
        <v>18</v>
      </c>
      <c r="W9" s="13"/>
      <c r="X9" s="13">
        <f>G6</f>
        <v>20961.538461538501</v>
      </c>
      <c r="Y9" s="14">
        <f t="shared" si="0"/>
        <v>0.16666666666666669</v>
      </c>
      <c r="Z9" s="14">
        <f>Y9+Z8</f>
        <v>0.66666666666666674</v>
      </c>
      <c r="AA9" s="5"/>
      <c r="AB9" s="6"/>
    </row>
    <row r="10" spans="3:28" ht="25" customHeight="1" x14ac:dyDescent="0.2">
      <c r="C10" s="2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T10" s="13" t="s">
        <v>21</v>
      </c>
      <c r="U10" s="11"/>
      <c r="V10" s="13" t="s">
        <v>18</v>
      </c>
      <c r="W10" s="11"/>
      <c r="X10" s="13">
        <f>L7</f>
        <v>20961.538461538501</v>
      </c>
      <c r="Y10" s="14">
        <f t="shared" si="0"/>
        <v>0.16666666666666669</v>
      </c>
      <c r="Z10" s="14">
        <f>Y10+Z9</f>
        <v>0.83333333333333348</v>
      </c>
      <c r="AA10" s="5"/>
      <c r="AB10" s="6"/>
    </row>
    <row r="11" spans="3:28" ht="25" customHeight="1" x14ac:dyDescent="0.2">
      <c r="C11" s="2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T11" s="13" t="s">
        <v>22</v>
      </c>
      <c r="U11" s="11"/>
      <c r="V11" s="13" t="s">
        <v>18</v>
      </c>
      <c r="W11" s="11"/>
      <c r="X11" s="13">
        <f>M12</f>
        <v>20961.538461538501</v>
      </c>
      <c r="Y11" s="14">
        <f t="shared" si="0"/>
        <v>0.16666666666666669</v>
      </c>
      <c r="Z11" s="14">
        <f>Y11+Z10</f>
        <v>1.0000000000000002</v>
      </c>
      <c r="AA11" s="7"/>
      <c r="AB11" s="8"/>
    </row>
    <row r="12" spans="3:28" ht="25" customHeight="1" x14ac:dyDescent="0.2">
      <c r="C12" s="2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3">
        <v>20961.538461538501</v>
      </c>
      <c r="N12" s="1"/>
      <c r="O12" s="1"/>
      <c r="P12" s="1"/>
    </row>
    <row r="13" spans="3:28" ht="25" customHeight="1" x14ac:dyDescent="0.2">
      <c r="C13" s="2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3:28" ht="25" customHeight="1" x14ac:dyDescent="0.2">
      <c r="C14" s="2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3:28" ht="25" customHeight="1" x14ac:dyDescent="0.2">
      <c r="C15" s="2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3:28" ht="25" customHeight="1" x14ac:dyDescent="0.2">
      <c r="C16" s="2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0013-D7CD-BA40-B1E7-F0FA2D18A6E1}">
  <dimension ref="B8:K18"/>
  <sheetViews>
    <sheetView showGridLines="0" tabSelected="1" topLeftCell="A3" workbookViewId="0">
      <selection activeCell="C14" sqref="C14"/>
    </sheetView>
  </sheetViews>
  <sheetFormatPr baseColWidth="10" defaultRowHeight="16" x14ac:dyDescent="0.2"/>
  <cols>
    <col min="10" max="10" width="14" bestFit="1" customWidth="1"/>
  </cols>
  <sheetData>
    <row r="8" spans="2:11" x14ac:dyDescent="0.2">
      <c r="B8" s="3" t="s">
        <v>32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 t="s">
        <v>33</v>
      </c>
    </row>
    <row r="9" spans="2:11" x14ac:dyDescent="0.2">
      <c r="B9" s="3" t="s">
        <v>34</v>
      </c>
      <c r="C9" s="3" t="s">
        <v>57</v>
      </c>
      <c r="D9" s="3" t="s">
        <v>35</v>
      </c>
      <c r="E9" s="3" t="s">
        <v>57</v>
      </c>
      <c r="F9" s="3" t="s">
        <v>36</v>
      </c>
      <c r="G9" s="3" t="s">
        <v>37</v>
      </c>
      <c r="H9" s="3" t="s">
        <v>38</v>
      </c>
      <c r="I9" s="3" t="s">
        <v>39</v>
      </c>
      <c r="J9" s="3">
        <f>13+5+13+3+13+7+13</f>
        <v>67</v>
      </c>
    </row>
    <row r="11" spans="2:11" ht="56" x14ac:dyDescent="0.2">
      <c r="B11" s="16" t="s">
        <v>23</v>
      </c>
      <c r="C11" s="16" t="s">
        <v>24</v>
      </c>
      <c r="D11" s="16" t="s">
        <v>25</v>
      </c>
      <c r="E11" s="16"/>
      <c r="F11" s="17" t="s">
        <v>26</v>
      </c>
      <c r="G11" s="17" t="s">
        <v>27</v>
      </c>
      <c r="H11" s="16" t="s">
        <v>28</v>
      </c>
      <c r="I11" s="16" t="s">
        <v>29</v>
      </c>
      <c r="J11" s="16" t="s">
        <v>54</v>
      </c>
      <c r="K11" s="16" t="s">
        <v>55</v>
      </c>
    </row>
    <row r="12" spans="2:11" x14ac:dyDescent="0.2">
      <c r="B12" s="16" t="s">
        <v>1</v>
      </c>
      <c r="C12" s="47">
        <v>13</v>
      </c>
      <c r="D12" s="18">
        <v>0.97699999999999998</v>
      </c>
      <c r="E12" s="18" t="s">
        <v>31</v>
      </c>
      <c r="F12" s="19">
        <f>14*14</f>
        <v>196</v>
      </c>
      <c r="G12" s="48">
        <f t="shared" ref="G12:G18" si="0">F12*C12</f>
        <v>2548</v>
      </c>
      <c r="H12" s="20">
        <f>G12/I12</f>
        <v>70</v>
      </c>
      <c r="I12" s="20">
        <v>36.4</v>
      </c>
      <c r="J12" s="43">
        <f>H12/14</f>
        <v>5</v>
      </c>
      <c r="K12" s="43">
        <f>I12/14</f>
        <v>2.6</v>
      </c>
    </row>
    <row r="13" spans="2:11" x14ac:dyDescent="0.2">
      <c r="B13" s="16" t="s">
        <v>0</v>
      </c>
      <c r="C13" s="18">
        <v>5</v>
      </c>
      <c r="D13" s="18">
        <v>0.9728</v>
      </c>
      <c r="E13" s="18" t="s">
        <v>31</v>
      </c>
      <c r="F13" s="19">
        <f t="shared" ref="F13:F16" si="1">14*14</f>
        <v>196</v>
      </c>
      <c r="G13" s="48">
        <f t="shared" si="0"/>
        <v>980</v>
      </c>
      <c r="H13" s="20">
        <f t="shared" ref="H13:H18" si="2">G13/I13</f>
        <v>70</v>
      </c>
      <c r="I13" s="20">
        <v>14</v>
      </c>
      <c r="J13" s="43">
        <f t="shared" ref="J13:J18" si="3">H13/14</f>
        <v>5</v>
      </c>
      <c r="K13" s="43">
        <f t="shared" ref="K13:K18" si="4">I13/14</f>
        <v>1</v>
      </c>
    </row>
    <row r="14" spans="2:11" x14ac:dyDescent="0.2">
      <c r="B14" s="16" t="s">
        <v>1</v>
      </c>
      <c r="C14" s="47">
        <v>13</v>
      </c>
      <c r="D14" s="18">
        <v>0.95960000000000001</v>
      </c>
      <c r="E14" s="18" t="s">
        <v>31</v>
      </c>
      <c r="F14" s="19">
        <f t="shared" si="1"/>
        <v>196</v>
      </c>
      <c r="G14" s="48">
        <f t="shared" si="0"/>
        <v>2548</v>
      </c>
      <c r="H14" s="20">
        <f>G14/I14</f>
        <v>70</v>
      </c>
      <c r="I14" s="20">
        <v>36.4</v>
      </c>
      <c r="J14" s="43">
        <f t="shared" si="3"/>
        <v>5</v>
      </c>
      <c r="K14" s="43">
        <f t="shared" si="4"/>
        <v>2.6</v>
      </c>
    </row>
    <row r="15" spans="2:11" x14ac:dyDescent="0.2">
      <c r="B15" s="16" t="s">
        <v>2</v>
      </c>
      <c r="C15" s="18">
        <v>3</v>
      </c>
      <c r="D15" s="18">
        <v>0.98070000000000002</v>
      </c>
      <c r="E15" s="18" t="s">
        <v>31</v>
      </c>
      <c r="F15" s="19">
        <f t="shared" si="1"/>
        <v>196</v>
      </c>
      <c r="G15" s="48">
        <f t="shared" si="0"/>
        <v>588</v>
      </c>
      <c r="H15" s="20">
        <f t="shared" si="2"/>
        <v>42</v>
      </c>
      <c r="I15" s="20">
        <v>14</v>
      </c>
      <c r="J15" s="43">
        <f t="shared" si="3"/>
        <v>3</v>
      </c>
      <c r="K15" s="43">
        <f t="shared" si="4"/>
        <v>1</v>
      </c>
    </row>
    <row r="16" spans="2:11" x14ac:dyDescent="0.2">
      <c r="B16" s="16" t="s">
        <v>3</v>
      </c>
      <c r="C16" s="18">
        <v>13</v>
      </c>
      <c r="D16" s="18">
        <v>0.94820000000000004</v>
      </c>
      <c r="E16" s="18" t="s">
        <v>31</v>
      </c>
      <c r="F16" s="19">
        <f t="shared" si="1"/>
        <v>196</v>
      </c>
      <c r="G16" s="48">
        <f t="shared" si="0"/>
        <v>2548</v>
      </c>
      <c r="H16" s="20">
        <f t="shared" si="2"/>
        <v>60.666666666666664</v>
      </c>
      <c r="I16" s="20">
        <f>3*14</f>
        <v>42</v>
      </c>
      <c r="J16" s="43">
        <f t="shared" si="3"/>
        <v>4.333333333333333</v>
      </c>
      <c r="K16" s="43">
        <f t="shared" si="4"/>
        <v>3</v>
      </c>
    </row>
    <row r="17" spans="2:11" x14ac:dyDescent="0.2">
      <c r="B17" s="16" t="s">
        <v>8</v>
      </c>
      <c r="C17" s="18">
        <v>7</v>
      </c>
      <c r="D17" s="18">
        <v>0.93810000000000004</v>
      </c>
      <c r="E17" s="18" t="s">
        <v>30</v>
      </c>
      <c r="F17" s="19">
        <f>14*36</f>
        <v>504</v>
      </c>
      <c r="G17" s="42">
        <f t="shared" si="0"/>
        <v>3528</v>
      </c>
      <c r="H17" s="20">
        <f t="shared" si="2"/>
        <v>84</v>
      </c>
      <c r="I17" s="20">
        <v>42</v>
      </c>
      <c r="J17" s="43">
        <f t="shared" si="3"/>
        <v>6</v>
      </c>
      <c r="K17" s="43">
        <f t="shared" si="4"/>
        <v>3</v>
      </c>
    </row>
    <row r="18" spans="2:11" x14ac:dyDescent="0.2">
      <c r="B18" s="16" t="s">
        <v>9</v>
      </c>
      <c r="C18" s="18">
        <v>13</v>
      </c>
      <c r="D18" s="18">
        <v>0.96740000000000004</v>
      </c>
      <c r="E18" s="18" t="s">
        <v>30</v>
      </c>
      <c r="F18" s="19">
        <f>14*36</f>
        <v>504</v>
      </c>
      <c r="G18" s="41">
        <f t="shared" si="0"/>
        <v>6552</v>
      </c>
      <c r="H18" s="20">
        <f t="shared" si="2"/>
        <v>93.6</v>
      </c>
      <c r="I18" s="20">
        <v>70</v>
      </c>
      <c r="J18" s="43">
        <f t="shared" si="3"/>
        <v>6.6857142857142851</v>
      </c>
      <c r="K18" s="43">
        <f t="shared" si="4"/>
        <v>5</v>
      </c>
    </row>
  </sheetData>
  <conditionalFormatting sqref="G12:G18">
    <cfRule type="colorScale" priority="4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E834-EB31-CB4D-ACDF-AD9FE171AD54}">
  <dimension ref="W9:AV27"/>
  <sheetViews>
    <sheetView showGridLines="0" topLeftCell="X14" zoomScale="90" zoomScaleNormal="90" workbookViewId="0">
      <selection activeCell="AK30" sqref="AK30"/>
    </sheetView>
  </sheetViews>
  <sheetFormatPr baseColWidth="10" defaultColWidth="8.33203125" defaultRowHeight="40" customHeight="1" x14ac:dyDescent="0.2"/>
  <sheetData>
    <row r="9" spans="38:41" ht="40" customHeight="1" x14ac:dyDescent="0.2">
      <c r="AL9" s="10" t="s">
        <v>42</v>
      </c>
      <c r="AM9" s="10" t="s">
        <v>40</v>
      </c>
    </row>
    <row r="15" spans="38:41" ht="40" customHeight="1" x14ac:dyDescent="0.2">
      <c r="AO15">
        <v>1</v>
      </c>
    </row>
    <row r="20" spans="23:48" ht="40" customHeight="1" x14ac:dyDescent="0.2">
      <c r="AH20" s="9"/>
      <c r="AN20" s="45">
        <v>1</v>
      </c>
      <c r="AO20" s="45">
        <v>2</v>
      </c>
      <c r="AP20" s="45">
        <v>3</v>
      </c>
      <c r="AR20" s="45">
        <v>1</v>
      </c>
      <c r="AS20" s="45">
        <v>2</v>
      </c>
      <c r="AT20" s="45">
        <v>3</v>
      </c>
      <c r="AU20" s="45">
        <v>4</v>
      </c>
      <c r="AV20" s="45">
        <v>5</v>
      </c>
    </row>
    <row r="21" spans="23:48" ht="40" customHeight="1" x14ac:dyDescent="0.2">
      <c r="X21">
        <v>1</v>
      </c>
      <c r="Y21">
        <v>2</v>
      </c>
      <c r="Z21">
        <v>3</v>
      </c>
      <c r="AB21">
        <v>1</v>
      </c>
      <c r="AD21">
        <v>1</v>
      </c>
      <c r="AE21">
        <v>2</v>
      </c>
      <c r="AF21">
        <v>3</v>
      </c>
      <c r="AJ21">
        <v>1</v>
      </c>
      <c r="AK21">
        <v>2</v>
      </c>
      <c r="AL21">
        <v>3</v>
      </c>
      <c r="AM21">
        <v>1</v>
      </c>
      <c r="AQ21">
        <v>1</v>
      </c>
    </row>
    <row r="22" spans="23:48" ht="40" customHeight="1" x14ac:dyDescent="0.2">
      <c r="W22">
        <v>1</v>
      </c>
      <c r="AA22">
        <v>1</v>
      </c>
      <c r="AC22">
        <v>1</v>
      </c>
      <c r="AH22">
        <v>1</v>
      </c>
      <c r="AI22">
        <v>1</v>
      </c>
      <c r="AM22">
        <v>2</v>
      </c>
      <c r="AQ22">
        <v>2</v>
      </c>
    </row>
    <row r="23" spans="23:48" ht="40" customHeight="1" x14ac:dyDescent="0.2">
      <c r="W23">
        <v>2</v>
      </c>
      <c r="AA23">
        <v>2</v>
      </c>
      <c r="AC23">
        <v>2</v>
      </c>
      <c r="AG23">
        <v>1</v>
      </c>
      <c r="AI23">
        <v>2</v>
      </c>
      <c r="AM23">
        <v>3</v>
      </c>
      <c r="AQ23">
        <v>3</v>
      </c>
    </row>
    <row r="24" spans="23:48" ht="40" customHeight="1" x14ac:dyDescent="0.2">
      <c r="W24">
        <v>3</v>
      </c>
      <c r="AA24">
        <v>3</v>
      </c>
      <c r="AC24">
        <v>3</v>
      </c>
      <c r="AG24">
        <v>2</v>
      </c>
      <c r="AI24">
        <v>3</v>
      </c>
      <c r="AM24">
        <v>4</v>
      </c>
      <c r="AQ24">
        <v>4</v>
      </c>
    </row>
    <row r="25" spans="23:48" ht="40" customHeight="1" x14ac:dyDescent="0.2">
      <c r="W25">
        <v>4</v>
      </c>
      <c r="AA25">
        <v>4</v>
      </c>
      <c r="AC25">
        <v>4</v>
      </c>
      <c r="AG25">
        <v>3</v>
      </c>
      <c r="AI25">
        <v>4</v>
      </c>
      <c r="AM25">
        <v>5</v>
      </c>
      <c r="AQ25">
        <v>5</v>
      </c>
    </row>
    <row r="26" spans="23:48" ht="40" customHeight="1" x14ac:dyDescent="0.2">
      <c r="W26">
        <v>5</v>
      </c>
      <c r="AA26">
        <v>5</v>
      </c>
      <c r="AC26">
        <v>5</v>
      </c>
      <c r="AI26">
        <v>5</v>
      </c>
      <c r="AM26">
        <v>6</v>
      </c>
      <c r="AQ26">
        <v>6</v>
      </c>
    </row>
    <row r="27" spans="23:48" ht="40" customHeight="1" x14ac:dyDescent="0.2">
      <c r="AQ27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9E5D-A5C4-844A-8D16-BBDC60EA7EDD}">
  <dimension ref="F2:Z37"/>
  <sheetViews>
    <sheetView showGridLines="0" topLeftCell="E1" zoomScale="80" zoomScaleNormal="80" workbookViewId="0">
      <selection activeCell="H7" sqref="H7"/>
    </sheetView>
  </sheetViews>
  <sheetFormatPr baseColWidth="10" defaultColWidth="11.6640625" defaultRowHeight="27" customHeight="1" x14ac:dyDescent="0.2"/>
  <sheetData>
    <row r="2" spans="6:26" ht="27" customHeight="1" x14ac:dyDescent="0.2">
      <c r="K2" t="s">
        <v>52</v>
      </c>
    </row>
    <row r="3" spans="6:26" ht="27" customHeight="1" x14ac:dyDescent="0.2">
      <c r="I3" s="9"/>
      <c r="J3" s="9"/>
      <c r="K3" s="9"/>
    </row>
    <row r="6" spans="6:26" ht="27" customHeight="1" x14ac:dyDescent="0.2">
      <c r="F6" s="21"/>
    </row>
    <row r="7" spans="6:26" ht="27" customHeight="1" x14ac:dyDescent="0.2">
      <c r="F7" s="22"/>
      <c r="I7" s="9"/>
      <c r="J7" s="9"/>
      <c r="K7" s="9"/>
    </row>
    <row r="8" spans="6:26" ht="27" customHeight="1" x14ac:dyDescent="0.2">
      <c r="F8" s="22"/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  <c r="R8">
        <v>11</v>
      </c>
      <c r="S8">
        <v>12</v>
      </c>
      <c r="T8">
        <v>13</v>
      </c>
      <c r="U8">
        <v>14</v>
      </c>
      <c r="V8">
        <v>15</v>
      </c>
      <c r="W8">
        <v>16</v>
      </c>
      <c r="X8">
        <v>17</v>
      </c>
      <c r="Y8">
        <v>18</v>
      </c>
      <c r="Z8">
        <v>19</v>
      </c>
    </row>
    <row r="9" spans="6:26" ht="27" customHeight="1" x14ac:dyDescent="0.2">
      <c r="F9" s="22"/>
      <c r="G9">
        <v>1</v>
      </c>
    </row>
    <row r="10" spans="6:26" ht="27" customHeight="1" x14ac:dyDescent="0.2">
      <c r="F10" s="22"/>
      <c r="G10">
        <v>2</v>
      </c>
    </row>
    <row r="11" spans="6:26" ht="27" customHeight="1" x14ac:dyDescent="0.2">
      <c r="F11" s="22"/>
      <c r="G11">
        <v>3</v>
      </c>
    </row>
    <row r="12" spans="6:26" ht="27" customHeight="1" x14ac:dyDescent="0.2">
      <c r="F12" s="22"/>
      <c r="G12">
        <v>4</v>
      </c>
    </row>
    <row r="13" spans="6:26" ht="27" customHeight="1" x14ac:dyDescent="0.2">
      <c r="F13" s="22"/>
      <c r="G13">
        <v>5</v>
      </c>
    </row>
    <row r="14" spans="6:26" ht="27" customHeight="1" x14ac:dyDescent="0.2">
      <c r="F14" s="22"/>
      <c r="G14">
        <v>6</v>
      </c>
    </row>
    <row r="15" spans="6:26" ht="27" customHeight="1" x14ac:dyDescent="0.2">
      <c r="F15" s="22"/>
      <c r="G15">
        <v>7</v>
      </c>
    </row>
    <row r="16" spans="6:26" ht="27" customHeight="1" x14ac:dyDescent="0.2">
      <c r="F16" s="22"/>
    </row>
    <row r="17" spans="6:6" ht="27" customHeight="1" x14ac:dyDescent="0.2">
      <c r="F17" s="22"/>
    </row>
    <row r="18" spans="6:6" ht="27" customHeight="1" x14ac:dyDescent="0.2">
      <c r="F18" s="22"/>
    </row>
    <row r="19" spans="6:6" ht="27" customHeight="1" x14ac:dyDescent="0.2">
      <c r="F19" s="22"/>
    </row>
    <row r="20" spans="6:6" ht="27" customHeight="1" x14ac:dyDescent="0.2">
      <c r="F20" s="22"/>
    </row>
    <row r="21" spans="6:6" ht="27" customHeight="1" x14ac:dyDescent="0.2">
      <c r="F21" s="22"/>
    </row>
    <row r="22" spans="6:6" ht="27" customHeight="1" x14ac:dyDescent="0.2">
      <c r="F22" s="22"/>
    </row>
    <row r="23" spans="6:6" ht="27" customHeight="1" x14ac:dyDescent="0.2">
      <c r="F23" s="22"/>
    </row>
    <row r="24" spans="6:6" ht="27" customHeight="1" x14ac:dyDescent="0.2">
      <c r="F24" s="22"/>
    </row>
    <row r="25" spans="6:6" ht="27" customHeight="1" x14ac:dyDescent="0.2">
      <c r="F25" s="22"/>
    </row>
    <row r="26" spans="6:6" ht="27" customHeight="1" x14ac:dyDescent="0.2">
      <c r="F26" s="22"/>
    </row>
    <row r="27" spans="6:6" ht="27" customHeight="1" x14ac:dyDescent="0.2">
      <c r="F27" s="22"/>
    </row>
    <row r="28" spans="6:6" ht="27" customHeight="1" x14ac:dyDescent="0.2">
      <c r="F28" s="22"/>
    </row>
    <row r="29" spans="6:6" ht="27" customHeight="1" x14ac:dyDescent="0.2">
      <c r="F29" s="22"/>
    </row>
    <row r="30" spans="6:6" ht="27" customHeight="1" x14ac:dyDescent="0.2">
      <c r="F30" s="22"/>
    </row>
    <row r="31" spans="6:6" ht="27" customHeight="1" x14ac:dyDescent="0.2">
      <c r="F31" s="22"/>
    </row>
    <row r="32" spans="6:6" ht="27" customHeight="1" x14ac:dyDescent="0.2">
      <c r="F32" s="22"/>
    </row>
    <row r="33" spans="6:6" ht="27" customHeight="1" x14ac:dyDescent="0.2">
      <c r="F33" s="22"/>
    </row>
    <row r="34" spans="6:6" ht="27" customHeight="1" x14ac:dyDescent="0.2">
      <c r="F34" s="22"/>
    </row>
    <row r="35" spans="6:6" ht="27" customHeight="1" x14ac:dyDescent="0.2">
      <c r="F35" s="22"/>
    </row>
    <row r="36" spans="6:6" ht="27" customHeight="1" x14ac:dyDescent="0.2">
      <c r="F36" s="22"/>
    </row>
    <row r="37" spans="6:6" ht="27" customHeight="1" x14ac:dyDescent="0.2">
      <c r="F37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741C-EE96-854F-A41C-096F594BFE6B}">
  <dimension ref="E6:BW52"/>
  <sheetViews>
    <sheetView topLeftCell="Z1" zoomScale="78" zoomScaleNormal="78" workbookViewId="0">
      <selection activeCell="K10" sqref="K10:AD18"/>
    </sheetView>
  </sheetViews>
  <sheetFormatPr baseColWidth="10" defaultColWidth="11.6640625" defaultRowHeight="27" customHeight="1" x14ac:dyDescent="0.2"/>
  <sheetData>
    <row r="6" spans="5:75" ht="27" customHeight="1" x14ac:dyDescent="0.2">
      <c r="F6" s="21"/>
    </row>
    <row r="7" spans="5:75" ht="27" customHeight="1" x14ac:dyDescent="0.2">
      <c r="F7" s="2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5:75" ht="27" customHeight="1" x14ac:dyDescent="0.2">
      <c r="F8" s="22"/>
      <c r="AF8" s="26" t="s">
        <v>45</v>
      </c>
      <c r="AG8" s="27"/>
      <c r="AH8" s="27"/>
      <c r="AI8" s="27"/>
      <c r="AJ8" s="27"/>
      <c r="AK8" s="27"/>
      <c r="AL8" s="27"/>
      <c r="AM8" s="22"/>
      <c r="AN8" s="22"/>
      <c r="AO8" s="22"/>
      <c r="AP8" s="22"/>
      <c r="AQ8" s="22"/>
      <c r="AR8" s="22"/>
      <c r="AS8" s="22"/>
      <c r="AT8" s="22"/>
      <c r="AU8" s="26" t="s">
        <v>46</v>
      </c>
      <c r="AV8" s="27"/>
      <c r="AW8" s="27"/>
      <c r="AX8" s="27"/>
      <c r="AY8" s="27"/>
      <c r="AZ8" s="27"/>
      <c r="BA8" s="27"/>
      <c r="BB8" s="22"/>
      <c r="BC8" s="22"/>
      <c r="BD8" s="22"/>
      <c r="BE8" s="22"/>
      <c r="BF8" s="22"/>
      <c r="BG8" s="22"/>
      <c r="BH8" s="22"/>
      <c r="BI8" s="22"/>
      <c r="BJ8" s="21" t="s">
        <v>47</v>
      </c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</row>
    <row r="9" spans="5:75" ht="27" customHeight="1" x14ac:dyDescent="0.2">
      <c r="F9" s="22"/>
      <c r="AF9" s="28"/>
      <c r="AG9" s="29" t="s">
        <v>0</v>
      </c>
      <c r="AH9" s="29" t="s">
        <v>1</v>
      </c>
      <c r="AI9" s="29" t="s">
        <v>2</v>
      </c>
      <c r="AJ9" s="29" t="s">
        <v>3</v>
      </c>
      <c r="AK9" s="29" t="s">
        <v>4</v>
      </c>
      <c r="AL9" s="29" t="s">
        <v>5</v>
      </c>
      <c r="AM9" s="29" t="s">
        <v>6</v>
      </c>
      <c r="AN9" s="29" t="s">
        <v>7</v>
      </c>
      <c r="AO9" s="29" t="s">
        <v>8</v>
      </c>
      <c r="AP9" s="29" t="s">
        <v>9</v>
      </c>
      <c r="AQ9" s="29" t="s">
        <v>10</v>
      </c>
      <c r="AR9" s="29" t="s">
        <v>11</v>
      </c>
      <c r="AS9" s="29" t="s">
        <v>12</v>
      </c>
      <c r="AT9" s="22"/>
      <c r="AU9" s="28"/>
      <c r="AV9" s="29" t="s">
        <v>0</v>
      </c>
      <c r="AW9" s="29" t="s">
        <v>1</v>
      </c>
      <c r="AX9" s="29" t="s">
        <v>2</v>
      </c>
      <c r="AY9" s="29" t="s">
        <v>3</v>
      </c>
      <c r="AZ9" s="29" t="s">
        <v>4</v>
      </c>
      <c r="BA9" s="29" t="s">
        <v>5</v>
      </c>
      <c r="BB9" s="29" t="s">
        <v>6</v>
      </c>
      <c r="BC9" s="29" t="s">
        <v>7</v>
      </c>
      <c r="BD9" s="29" t="s">
        <v>8</v>
      </c>
      <c r="BE9" s="29" t="s">
        <v>9</v>
      </c>
      <c r="BF9" s="29" t="s">
        <v>10</v>
      </c>
      <c r="BG9" s="29" t="s">
        <v>11</v>
      </c>
      <c r="BH9" s="29" t="s">
        <v>12</v>
      </c>
      <c r="BI9" s="22"/>
      <c r="BJ9" s="28"/>
      <c r="BK9" s="29" t="s">
        <v>0</v>
      </c>
      <c r="BL9" s="29" t="s">
        <v>1</v>
      </c>
      <c r="BM9" s="29" t="s">
        <v>2</v>
      </c>
      <c r="BN9" s="29" t="s">
        <v>3</v>
      </c>
      <c r="BO9" s="29" t="s">
        <v>4</v>
      </c>
      <c r="BP9" s="29" t="s">
        <v>5</v>
      </c>
      <c r="BQ9" s="29" t="s">
        <v>6</v>
      </c>
      <c r="BR9" s="29" t="s">
        <v>7</v>
      </c>
      <c r="BS9" s="29" t="s">
        <v>8</v>
      </c>
      <c r="BT9" s="29" t="s">
        <v>9</v>
      </c>
      <c r="BU9" s="29" t="s">
        <v>10</v>
      </c>
      <c r="BV9" s="29" t="s">
        <v>11</v>
      </c>
      <c r="BW9" s="29" t="s">
        <v>12</v>
      </c>
    </row>
    <row r="10" spans="5:75" ht="27" customHeight="1" x14ac:dyDescent="0.2">
      <c r="E10" s="24"/>
      <c r="F10" s="25" t="s">
        <v>43</v>
      </c>
      <c r="G10" s="25" t="s">
        <v>44</v>
      </c>
      <c r="L10">
        <v>1</v>
      </c>
      <c r="M10">
        <v>2</v>
      </c>
      <c r="N10">
        <v>3</v>
      </c>
      <c r="O10">
        <v>4</v>
      </c>
      <c r="P10">
        <v>5</v>
      </c>
      <c r="Q10">
        <v>6</v>
      </c>
      <c r="R10">
        <v>7</v>
      </c>
      <c r="S10">
        <v>8</v>
      </c>
      <c r="T10">
        <v>9</v>
      </c>
      <c r="U10">
        <v>10</v>
      </c>
      <c r="V10">
        <v>11</v>
      </c>
      <c r="W10">
        <v>12</v>
      </c>
      <c r="X10">
        <v>13</v>
      </c>
      <c r="Y10">
        <v>14</v>
      </c>
      <c r="Z10">
        <v>15</v>
      </c>
      <c r="AA10">
        <v>16</v>
      </c>
      <c r="AB10">
        <v>17</v>
      </c>
      <c r="AC10">
        <v>18</v>
      </c>
      <c r="AD10">
        <v>19</v>
      </c>
      <c r="AF10" s="30" t="s">
        <v>0</v>
      </c>
      <c r="AG10" s="11"/>
      <c r="AH10" s="11">
        <f>14*2</f>
        <v>28</v>
      </c>
      <c r="AI10" s="11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22"/>
      <c r="AU10" s="30" t="s">
        <v>0</v>
      </c>
      <c r="AV10" s="32"/>
      <c r="AW10" s="32">
        <v>0</v>
      </c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22"/>
      <c r="BJ10" s="30" t="s">
        <v>0</v>
      </c>
      <c r="BK10" s="31" t="str">
        <f>IF(SQRT(AG10^2+AV10^2)=0,"",SQRT(AG10^2+AV10^2))</f>
        <v/>
      </c>
      <c r="BL10" s="31">
        <f t="shared" ref="BL10:BW22" si="0">IF(SQRT(AH10^2+AW10^2)=0,"",SQRT(AH10^2+AW10^2))</f>
        <v>28</v>
      </c>
      <c r="BM10" s="31" t="str">
        <f t="shared" si="0"/>
        <v/>
      </c>
      <c r="BN10" s="31" t="str">
        <f t="shared" si="0"/>
        <v/>
      </c>
      <c r="BO10" s="31" t="str">
        <f t="shared" si="0"/>
        <v/>
      </c>
      <c r="BP10" s="31" t="str">
        <f t="shared" si="0"/>
        <v/>
      </c>
      <c r="BQ10" s="31" t="str">
        <f t="shared" si="0"/>
        <v/>
      </c>
      <c r="BR10" s="31" t="str">
        <f t="shared" si="0"/>
        <v/>
      </c>
      <c r="BS10" s="31" t="str">
        <f t="shared" si="0"/>
        <v/>
      </c>
      <c r="BT10" s="31" t="str">
        <f t="shared" si="0"/>
        <v/>
      </c>
      <c r="BU10" s="31" t="str">
        <f t="shared" si="0"/>
        <v/>
      </c>
      <c r="BV10" s="31" t="str">
        <f t="shared" si="0"/>
        <v/>
      </c>
      <c r="BW10" s="31" t="str">
        <f t="shared" si="0"/>
        <v/>
      </c>
    </row>
    <row r="11" spans="5:75" ht="27" customHeight="1" x14ac:dyDescent="0.2">
      <c r="E11" s="25" t="s">
        <v>1</v>
      </c>
      <c r="F11" s="23">
        <v>2.5</v>
      </c>
      <c r="G11" s="23">
        <v>3.5</v>
      </c>
      <c r="K11">
        <v>1</v>
      </c>
      <c r="AF11" s="30" t="s">
        <v>1</v>
      </c>
      <c r="AG11" s="11">
        <v>14</v>
      </c>
      <c r="AH11" s="11"/>
      <c r="AI11" s="11">
        <f>14*2</f>
        <v>28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22"/>
      <c r="AU11" s="30" t="s">
        <v>1</v>
      </c>
      <c r="AV11" s="32">
        <v>0</v>
      </c>
      <c r="AW11" s="32"/>
      <c r="AX11" s="32">
        <v>0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22"/>
      <c r="BJ11" s="30" t="s">
        <v>1</v>
      </c>
      <c r="BK11" s="31">
        <f>IF(SQRT(AG11^2+AV11^2)=0,"",SQRT(AG11^2+AV11^2))</f>
        <v>14</v>
      </c>
      <c r="BL11" s="31" t="str">
        <f t="shared" si="0"/>
        <v/>
      </c>
      <c r="BM11" s="31">
        <f t="shared" si="0"/>
        <v>28</v>
      </c>
      <c r="BN11" s="31" t="str">
        <f t="shared" si="0"/>
        <v/>
      </c>
      <c r="BO11" s="31" t="str">
        <f t="shared" si="0"/>
        <v/>
      </c>
      <c r="BP11" s="31" t="str">
        <f t="shared" si="0"/>
        <v/>
      </c>
      <c r="BQ11" s="31" t="str">
        <f t="shared" si="0"/>
        <v/>
      </c>
      <c r="BR11" s="31" t="str">
        <f t="shared" si="0"/>
        <v/>
      </c>
      <c r="BS11" s="31" t="str">
        <f t="shared" si="0"/>
        <v/>
      </c>
      <c r="BT11" s="31" t="str">
        <f t="shared" si="0"/>
        <v/>
      </c>
      <c r="BU11" s="31" t="str">
        <f t="shared" si="0"/>
        <v/>
      </c>
      <c r="BV11" s="31" t="str">
        <f t="shared" si="0"/>
        <v/>
      </c>
      <c r="BW11" s="31" t="str">
        <f t="shared" si="0"/>
        <v/>
      </c>
    </row>
    <row r="12" spans="5:75" ht="27" customHeight="1" x14ac:dyDescent="0.2">
      <c r="E12" s="25" t="s">
        <v>0</v>
      </c>
      <c r="F12" s="23">
        <v>3.5</v>
      </c>
      <c r="G12" s="23">
        <v>3.5</v>
      </c>
      <c r="K12">
        <v>2</v>
      </c>
      <c r="AF12" s="30" t="s">
        <v>2</v>
      </c>
      <c r="AG12" s="11"/>
      <c r="AH12" s="11"/>
      <c r="AI12" s="11"/>
      <c r="AJ12" s="11">
        <f>14*2</f>
        <v>28</v>
      </c>
      <c r="AK12" s="32"/>
      <c r="AL12" s="32"/>
      <c r="AM12" s="32"/>
      <c r="AN12" s="32"/>
      <c r="AO12" s="32"/>
      <c r="AP12" s="32"/>
      <c r="AQ12" s="32"/>
      <c r="AR12" s="32"/>
      <c r="AS12" s="32"/>
      <c r="AT12" s="22"/>
      <c r="AU12" s="30" t="s">
        <v>2</v>
      </c>
      <c r="AV12" s="32"/>
      <c r="AW12" s="32"/>
      <c r="AX12" s="32"/>
      <c r="AY12" s="32">
        <v>0</v>
      </c>
      <c r="AZ12" s="32"/>
      <c r="BA12" s="32"/>
      <c r="BB12" s="32"/>
      <c r="BC12" s="32"/>
      <c r="BD12" s="32"/>
      <c r="BE12" s="32"/>
      <c r="BF12" s="32"/>
      <c r="BG12" s="32"/>
      <c r="BH12" s="32"/>
      <c r="BI12" s="22"/>
      <c r="BJ12" s="30" t="s">
        <v>2</v>
      </c>
      <c r="BK12" s="31" t="str">
        <f t="shared" ref="BK12:BK22" si="1">IF(SQRT(AG12^2+AV12^2)=0,"",SQRT(AG12^2+AV12^2))</f>
        <v/>
      </c>
      <c r="BL12" s="31" t="str">
        <f t="shared" si="0"/>
        <v/>
      </c>
      <c r="BM12" s="31" t="str">
        <f t="shared" si="0"/>
        <v/>
      </c>
      <c r="BN12" s="31">
        <f t="shared" si="0"/>
        <v>28</v>
      </c>
      <c r="BO12" s="31" t="str">
        <f t="shared" si="0"/>
        <v/>
      </c>
      <c r="BP12" s="31" t="str">
        <f t="shared" si="0"/>
        <v/>
      </c>
      <c r="BQ12" s="31" t="str">
        <f t="shared" si="0"/>
        <v/>
      </c>
      <c r="BR12" s="31" t="str">
        <f t="shared" si="0"/>
        <v/>
      </c>
      <c r="BS12" s="31" t="str">
        <f t="shared" si="0"/>
        <v/>
      </c>
      <c r="BT12" s="31" t="str">
        <f t="shared" si="0"/>
        <v/>
      </c>
      <c r="BU12" s="31" t="str">
        <f t="shared" si="0"/>
        <v/>
      </c>
      <c r="BV12" s="31" t="str">
        <f t="shared" si="0"/>
        <v/>
      </c>
      <c r="BW12" s="31" t="str">
        <f t="shared" si="0"/>
        <v/>
      </c>
    </row>
    <row r="13" spans="5:75" ht="27" customHeight="1" x14ac:dyDescent="0.2">
      <c r="E13" s="25" t="s">
        <v>1</v>
      </c>
      <c r="F13" s="23">
        <v>5.5</v>
      </c>
      <c r="G13" s="23">
        <v>3.5</v>
      </c>
      <c r="K13">
        <v>3</v>
      </c>
      <c r="AF13" s="30" t="s">
        <v>3</v>
      </c>
      <c r="AG13" s="32"/>
      <c r="AH13" s="32"/>
      <c r="AI13" s="32"/>
      <c r="AJ13" s="32"/>
      <c r="AK13" s="32"/>
      <c r="AL13" s="32"/>
      <c r="AM13" s="32"/>
      <c r="AN13" s="32"/>
      <c r="AO13" s="32">
        <f>14*3</f>
        <v>42</v>
      </c>
      <c r="AP13" s="32"/>
      <c r="AQ13" s="32"/>
      <c r="AR13" s="32"/>
      <c r="AS13" s="32"/>
      <c r="AT13" s="22"/>
      <c r="AU13" s="30" t="s">
        <v>3</v>
      </c>
      <c r="AV13" s="32"/>
      <c r="AW13" s="32"/>
      <c r="AX13" s="32"/>
      <c r="AY13" s="32"/>
      <c r="AZ13" s="32"/>
      <c r="BA13" s="32"/>
      <c r="BB13" s="32"/>
      <c r="BC13" s="32"/>
      <c r="BD13" s="32">
        <v>0</v>
      </c>
      <c r="BE13" s="32"/>
      <c r="BF13" s="32"/>
      <c r="BG13" s="32"/>
      <c r="BH13" s="32"/>
      <c r="BI13" s="22"/>
      <c r="BJ13" s="30" t="s">
        <v>3</v>
      </c>
      <c r="BK13" s="31" t="str">
        <f t="shared" si="1"/>
        <v/>
      </c>
      <c r="BL13" s="31" t="str">
        <f t="shared" si="0"/>
        <v/>
      </c>
      <c r="BM13" s="31" t="str">
        <f t="shared" si="0"/>
        <v/>
      </c>
      <c r="BN13" s="31" t="str">
        <f t="shared" si="0"/>
        <v/>
      </c>
      <c r="BO13" s="31" t="str">
        <f t="shared" si="0"/>
        <v/>
      </c>
      <c r="BP13" s="31" t="str">
        <f t="shared" si="0"/>
        <v/>
      </c>
      <c r="BQ13" s="31" t="str">
        <f t="shared" si="0"/>
        <v/>
      </c>
      <c r="BR13" s="31" t="str">
        <f t="shared" si="0"/>
        <v/>
      </c>
      <c r="BS13" s="31">
        <f t="shared" si="0"/>
        <v>42</v>
      </c>
      <c r="BT13" s="31" t="str">
        <f t="shared" si="0"/>
        <v/>
      </c>
      <c r="BU13" s="31" t="str">
        <f t="shared" si="0"/>
        <v/>
      </c>
      <c r="BV13" s="31" t="str">
        <f t="shared" si="0"/>
        <v/>
      </c>
      <c r="BW13" s="31" t="str">
        <f t="shared" si="0"/>
        <v/>
      </c>
    </row>
    <row r="14" spans="5:75" ht="27" customHeight="1" x14ac:dyDescent="0.2">
      <c r="E14" s="25" t="s">
        <v>2</v>
      </c>
      <c r="F14" s="23">
        <v>7.5</v>
      </c>
      <c r="G14" s="23">
        <v>3.5</v>
      </c>
      <c r="K14">
        <v>4</v>
      </c>
      <c r="AF14" s="30" t="s">
        <v>4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22"/>
      <c r="AU14" s="30" t="s">
        <v>4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22"/>
      <c r="BJ14" s="30" t="s">
        <v>4</v>
      </c>
      <c r="BK14" s="31" t="str">
        <f t="shared" si="1"/>
        <v/>
      </c>
      <c r="BL14" s="31" t="str">
        <f t="shared" si="0"/>
        <v/>
      </c>
      <c r="BM14" s="31" t="str">
        <f t="shared" si="0"/>
        <v/>
      </c>
      <c r="BN14" s="31" t="str">
        <f t="shared" si="0"/>
        <v/>
      </c>
      <c r="BO14" s="31" t="str">
        <f t="shared" si="0"/>
        <v/>
      </c>
      <c r="BP14" s="31" t="str">
        <f t="shared" si="0"/>
        <v/>
      </c>
      <c r="BQ14" s="31" t="str">
        <f t="shared" si="0"/>
        <v/>
      </c>
      <c r="BR14" s="31" t="str">
        <f t="shared" si="0"/>
        <v/>
      </c>
      <c r="BS14" s="31" t="str">
        <f t="shared" si="0"/>
        <v/>
      </c>
      <c r="BT14" s="31" t="str">
        <f t="shared" si="0"/>
        <v/>
      </c>
      <c r="BU14" s="31" t="str">
        <f t="shared" si="0"/>
        <v/>
      </c>
      <c r="BV14" s="31" t="str">
        <f t="shared" si="0"/>
        <v/>
      </c>
      <c r="BW14" s="31" t="str">
        <f t="shared" si="0"/>
        <v/>
      </c>
    </row>
    <row r="15" spans="5:75" ht="27" customHeight="1" x14ac:dyDescent="0.2">
      <c r="E15" s="25" t="s">
        <v>3</v>
      </c>
      <c r="F15" s="23">
        <v>9.5</v>
      </c>
      <c r="G15" s="23">
        <v>3.5</v>
      </c>
      <c r="K15">
        <v>5</v>
      </c>
      <c r="AF15" s="30" t="s">
        <v>5</v>
      </c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22"/>
      <c r="AU15" s="30" t="s">
        <v>5</v>
      </c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22"/>
      <c r="BJ15" s="30" t="s">
        <v>5</v>
      </c>
      <c r="BK15" s="31" t="str">
        <f t="shared" si="1"/>
        <v/>
      </c>
      <c r="BL15" s="31" t="str">
        <f t="shared" si="0"/>
        <v/>
      </c>
      <c r="BM15" s="31" t="str">
        <f t="shared" si="0"/>
        <v/>
      </c>
      <c r="BN15" s="31" t="str">
        <f t="shared" si="0"/>
        <v/>
      </c>
      <c r="BO15" s="31" t="str">
        <f t="shared" si="0"/>
        <v/>
      </c>
      <c r="BP15" s="31" t="str">
        <f t="shared" si="0"/>
        <v/>
      </c>
      <c r="BQ15" s="31" t="str">
        <f t="shared" si="0"/>
        <v/>
      </c>
      <c r="BR15" s="31" t="str">
        <f t="shared" si="0"/>
        <v/>
      </c>
      <c r="BS15" s="31" t="str">
        <f t="shared" si="0"/>
        <v/>
      </c>
      <c r="BT15" s="31" t="str">
        <f t="shared" si="0"/>
        <v/>
      </c>
      <c r="BU15" s="31" t="str">
        <f t="shared" si="0"/>
        <v/>
      </c>
      <c r="BV15" s="31" t="str">
        <f t="shared" si="0"/>
        <v/>
      </c>
      <c r="BW15" s="31" t="str">
        <f t="shared" si="0"/>
        <v/>
      </c>
    </row>
    <row r="16" spans="5:75" ht="27" customHeight="1" x14ac:dyDescent="0.2">
      <c r="E16" s="25" t="s">
        <v>8</v>
      </c>
      <c r="F16" s="23">
        <v>12.5</v>
      </c>
      <c r="G16" s="23">
        <v>3.5</v>
      </c>
      <c r="K16">
        <v>6</v>
      </c>
      <c r="AF16" s="30" t="s">
        <v>6</v>
      </c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22"/>
      <c r="AU16" s="30" t="s">
        <v>6</v>
      </c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22"/>
      <c r="BJ16" s="30" t="s">
        <v>6</v>
      </c>
      <c r="BK16" s="31" t="str">
        <f t="shared" si="1"/>
        <v/>
      </c>
      <c r="BL16" s="31" t="str">
        <f t="shared" si="0"/>
        <v/>
      </c>
      <c r="BM16" s="31" t="str">
        <f t="shared" si="0"/>
        <v/>
      </c>
      <c r="BN16" s="31" t="str">
        <f t="shared" si="0"/>
        <v/>
      </c>
      <c r="BO16" s="31" t="str">
        <f t="shared" si="0"/>
        <v/>
      </c>
      <c r="BP16" s="31" t="str">
        <f t="shared" si="0"/>
        <v/>
      </c>
      <c r="BQ16" s="31" t="str">
        <f t="shared" si="0"/>
        <v/>
      </c>
      <c r="BR16" s="31" t="str">
        <f t="shared" si="0"/>
        <v/>
      </c>
      <c r="BS16" s="31" t="str">
        <f t="shared" si="0"/>
        <v/>
      </c>
      <c r="BT16" s="31" t="str">
        <f t="shared" si="0"/>
        <v/>
      </c>
      <c r="BU16" s="31" t="str">
        <f t="shared" si="0"/>
        <v/>
      </c>
      <c r="BV16" s="31" t="str">
        <f t="shared" si="0"/>
        <v/>
      </c>
      <c r="BW16" s="31" t="str">
        <f t="shared" si="0"/>
        <v/>
      </c>
    </row>
    <row r="17" spans="5:75" ht="27" customHeight="1" x14ac:dyDescent="0.2">
      <c r="E17" s="25" t="s">
        <v>9</v>
      </c>
      <c r="F17" s="23">
        <v>16.5</v>
      </c>
      <c r="G17" s="23">
        <v>3.5</v>
      </c>
      <c r="K17">
        <v>7</v>
      </c>
      <c r="AF17" s="30" t="s">
        <v>7</v>
      </c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22"/>
      <c r="AU17" s="30" t="s">
        <v>7</v>
      </c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22"/>
      <c r="BJ17" s="30" t="s">
        <v>7</v>
      </c>
      <c r="BK17" s="31" t="str">
        <f t="shared" si="1"/>
        <v/>
      </c>
      <c r="BL17" s="31" t="str">
        <f t="shared" si="0"/>
        <v/>
      </c>
      <c r="BM17" s="31" t="str">
        <f t="shared" si="0"/>
        <v/>
      </c>
      <c r="BN17" s="31" t="str">
        <f t="shared" si="0"/>
        <v/>
      </c>
      <c r="BO17" s="31" t="str">
        <f t="shared" si="0"/>
        <v/>
      </c>
      <c r="BP17" s="31" t="str">
        <f t="shared" si="0"/>
        <v/>
      </c>
      <c r="BQ17" s="31" t="str">
        <f t="shared" si="0"/>
        <v/>
      </c>
      <c r="BR17" s="31" t="str">
        <f t="shared" si="0"/>
        <v/>
      </c>
      <c r="BS17" s="31" t="str">
        <f t="shared" si="0"/>
        <v/>
      </c>
      <c r="BT17" s="31" t="str">
        <f t="shared" si="0"/>
        <v/>
      </c>
      <c r="BU17" s="31" t="str">
        <f t="shared" si="0"/>
        <v/>
      </c>
      <c r="BV17" s="31" t="str">
        <f t="shared" si="0"/>
        <v/>
      </c>
      <c r="BW17" s="31" t="str">
        <f t="shared" si="0"/>
        <v/>
      </c>
    </row>
    <row r="18" spans="5:75" ht="27" customHeight="1" x14ac:dyDescent="0.2">
      <c r="F18" s="22"/>
      <c r="AF18" s="30" t="s">
        <v>8</v>
      </c>
      <c r="AG18" s="32"/>
      <c r="AH18" s="32"/>
      <c r="AI18" s="32"/>
      <c r="AJ18" s="32"/>
      <c r="AK18" s="32"/>
      <c r="AL18" s="32"/>
      <c r="AM18" s="32"/>
      <c r="AN18" s="32"/>
      <c r="AO18" s="32"/>
      <c r="AP18" s="32">
        <f>14*4</f>
        <v>56</v>
      </c>
      <c r="AQ18" s="32"/>
      <c r="AR18" s="32"/>
      <c r="AS18" s="32"/>
      <c r="AT18" s="22"/>
      <c r="AU18" s="30" t="s">
        <v>8</v>
      </c>
      <c r="AV18" s="32"/>
      <c r="AW18" s="32"/>
      <c r="AX18" s="32"/>
      <c r="AY18" s="32"/>
      <c r="AZ18" s="32"/>
      <c r="BA18" s="32"/>
      <c r="BB18" s="32"/>
      <c r="BC18" s="32"/>
      <c r="BD18" s="32"/>
      <c r="BE18" s="32">
        <v>0</v>
      </c>
      <c r="BF18" s="32"/>
      <c r="BG18" s="32"/>
      <c r="BH18" s="32"/>
      <c r="BI18" s="22"/>
      <c r="BJ18" s="30" t="s">
        <v>8</v>
      </c>
      <c r="BK18" s="31" t="str">
        <f t="shared" si="1"/>
        <v/>
      </c>
      <c r="BL18" s="31" t="str">
        <f t="shared" si="0"/>
        <v/>
      </c>
      <c r="BM18" s="31" t="str">
        <f t="shared" si="0"/>
        <v/>
      </c>
      <c r="BN18" s="31" t="str">
        <f t="shared" si="0"/>
        <v/>
      </c>
      <c r="BO18" s="31" t="str">
        <f t="shared" si="0"/>
        <v/>
      </c>
      <c r="BP18" s="31" t="str">
        <f t="shared" si="0"/>
        <v/>
      </c>
      <c r="BQ18" s="31" t="str">
        <f t="shared" si="0"/>
        <v/>
      </c>
      <c r="BR18" s="31" t="str">
        <f t="shared" si="0"/>
        <v/>
      </c>
      <c r="BS18" s="31" t="str">
        <f t="shared" si="0"/>
        <v/>
      </c>
      <c r="BT18" s="31">
        <f t="shared" si="0"/>
        <v>56</v>
      </c>
      <c r="BU18" s="31" t="str">
        <f t="shared" si="0"/>
        <v/>
      </c>
      <c r="BV18" s="31" t="str">
        <f t="shared" si="0"/>
        <v/>
      </c>
      <c r="BW18" s="31" t="str">
        <f t="shared" si="0"/>
        <v/>
      </c>
    </row>
    <row r="19" spans="5:75" ht="27" customHeight="1" x14ac:dyDescent="0.2">
      <c r="F19" s="22"/>
      <c r="AF19" s="30" t="s">
        <v>9</v>
      </c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22"/>
      <c r="AU19" s="30" t="s">
        <v>9</v>
      </c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22"/>
      <c r="BJ19" s="30" t="s">
        <v>9</v>
      </c>
      <c r="BK19" s="31" t="str">
        <f t="shared" si="1"/>
        <v/>
      </c>
      <c r="BL19" s="31" t="str">
        <f t="shared" si="0"/>
        <v/>
      </c>
      <c r="BM19" s="31" t="str">
        <f t="shared" si="0"/>
        <v/>
      </c>
      <c r="BN19" s="31" t="str">
        <f t="shared" si="0"/>
        <v/>
      </c>
      <c r="BO19" s="31" t="str">
        <f t="shared" si="0"/>
        <v/>
      </c>
      <c r="BP19" s="31" t="str">
        <f t="shared" si="0"/>
        <v/>
      </c>
      <c r="BQ19" s="31" t="str">
        <f t="shared" si="0"/>
        <v/>
      </c>
      <c r="BR19" s="31" t="str">
        <f t="shared" si="0"/>
        <v/>
      </c>
      <c r="BS19" s="31" t="str">
        <f t="shared" si="0"/>
        <v/>
      </c>
      <c r="BT19" s="31" t="str">
        <f t="shared" si="0"/>
        <v/>
      </c>
      <c r="BU19" s="31" t="str">
        <f t="shared" si="0"/>
        <v/>
      </c>
      <c r="BV19" s="31" t="str">
        <f t="shared" si="0"/>
        <v/>
      </c>
      <c r="BW19" s="31" t="str">
        <f t="shared" si="0"/>
        <v/>
      </c>
    </row>
    <row r="20" spans="5:75" ht="27" customHeight="1" x14ac:dyDescent="0.2">
      <c r="F20" s="22"/>
      <c r="AF20" s="30" t="s">
        <v>10</v>
      </c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22"/>
      <c r="AU20" s="30" t="s">
        <v>10</v>
      </c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22"/>
      <c r="BJ20" s="30" t="s">
        <v>10</v>
      </c>
      <c r="BK20" s="31" t="str">
        <f t="shared" si="1"/>
        <v/>
      </c>
      <c r="BL20" s="31" t="str">
        <f t="shared" si="0"/>
        <v/>
      </c>
      <c r="BM20" s="31" t="str">
        <f t="shared" si="0"/>
        <v/>
      </c>
      <c r="BN20" s="31" t="str">
        <f t="shared" si="0"/>
        <v/>
      </c>
      <c r="BO20" s="31" t="str">
        <f t="shared" si="0"/>
        <v/>
      </c>
      <c r="BP20" s="31" t="str">
        <f t="shared" si="0"/>
        <v/>
      </c>
      <c r="BQ20" s="31" t="str">
        <f t="shared" si="0"/>
        <v/>
      </c>
      <c r="BR20" s="31" t="str">
        <f t="shared" si="0"/>
        <v/>
      </c>
      <c r="BS20" s="31" t="str">
        <f t="shared" si="0"/>
        <v/>
      </c>
      <c r="BT20" s="31" t="str">
        <f t="shared" si="0"/>
        <v/>
      </c>
      <c r="BU20" s="31" t="str">
        <f t="shared" si="0"/>
        <v/>
      </c>
      <c r="BV20" s="31" t="str">
        <f t="shared" si="0"/>
        <v/>
      </c>
      <c r="BW20" s="31" t="str">
        <f t="shared" si="0"/>
        <v/>
      </c>
    </row>
    <row r="21" spans="5:75" ht="27" customHeight="1" x14ac:dyDescent="0.2">
      <c r="F21" s="22"/>
      <c r="AF21" s="30" t="s">
        <v>11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22"/>
      <c r="AU21" s="30" t="s">
        <v>11</v>
      </c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22"/>
      <c r="BJ21" s="30" t="s">
        <v>11</v>
      </c>
      <c r="BK21" s="31" t="str">
        <f t="shared" si="1"/>
        <v/>
      </c>
      <c r="BL21" s="31" t="str">
        <f t="shared" si="0"/>
        <v/>
      </c>
      <c r="BM21" s="31" t="str">
        <f t="shared" si="0"/>
        <v/>
      </c>
      <c r="BN21" s="31" t="str">
        <f t="shared" si="0"/>
        <v/>
      </c>
      <c r="BO21" s="31" t="str">
        <f t="shared" si="0"/>
        <v/>
      </c>
      <c r="BP21" s="31" t="str">
        <f t="shared" si="0"/>
        <v/>
      </c>
      <c r="BQ21" s="31" t="str">
        <f t="shared" si="0"/>
        <v/>
      </c>
      <c r="BR21" s="31" t="str">
        <f t="shared" si="0"/>
        <v/>
      </c>
      <c r="BS21" s="31" t="str">
        <f t="shared" si="0"/>
        <v/>
      </c>
      <c r="BT21" s="31" t="str">
        <f t="shared" si="0"/>
        <v/>
      </c>
      <c r="BU21" s="31" t="str">
        <f t="shared" si="0"/>
        <v/>
      </c>
      <c r="BV21" s="31" t="str">
        <f t="shared" si="0"/>
        <v/>
      </c>
      <c r="BW21" s="31" t="str">
        <f t="shared" si="0"/>
        <v/>
      </c>
    </row>
    <row r="22" spans="5:75" ht="27" customHeight="1" x14ac:dyDescent="0.2">
      <c r="F22" s="22"/>
      <c r="AF22" s="30" t="s">
        <v>12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22"/>
      <c r="AU22" s="30" t="s">
        <v>12</v>
      </c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22"/>
      <c r="BJ22" s="30" t="s">
        <v>12</v>
      </c>
      <c r="BK22" s="31" t="str">
        <f t="shared" si="1"/>
        <v/>
      </c>
      <c r="BL22" s="31" t="str">
        <f t="shared" si="0"/>
        <v/>
      </c>
      <c r="BM22" s="31" t="str">
        <f t="shared" si="0"/>
        <v/>
      </c>
      <c r="BN22" s="31" t="str">
        <f t="shared" si="0"/>
        <v/>
      </c>
      <c r="BO22" s="31" t="str">
        <f t="shared" si="0"/>
        <v/>
      </c>
      <c r="BP22" s="31" t="str">
        <f t="shared" si="0"/>
        <v/>
      </c>
      <c r="BQ22" s="31" t="str">
        <f t="shared" si="0"/>
        <v/>
      </c>
      <c r="BR22" s="31" t="str">
        <f t="shared" si="0"/>
        <v/>
      </c>
      <c r="BS22" s="31" t="str">
        <f t="shared" si="0"/>
        <v/>
      </c>
      <c r="BT22" s="31" t="str">
        <f t="shared" si="0"/>
        <v/>
      </c>
      <c r="BU22" s="31" t="str">
        <f t="shared" si="0"/>
        <v/>
      </c>
      <c r="BV22" s="31" t="str">
        <f t="shared" si="0"/>
        <v/>
      </c>
      <c r="BW22" s="31" t="str">
        <f t="shared" si="0"/>
        <v/>
      </c>
    </row>
    <row r="23" spans="5:75" ht="27" customHeight="1" x14ac:dyDescent="0.2">
      <c r="F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</row>
    <row r="24" spans="5:75" ht="27" customHeight="1" x14ac:dyDescent="0.2">
      <c r="F24" s="22"/>
      <c r="AF24" s="28"/>
      <c r="AG24" s="29" t="s">
        <v>0</v>
      </c>
      <c r="AH24" s="29" t="s">
        <v>1</v>
      </c>
      <c r="AI24" s="29" t="s">
        <v>2</v>
      </c>
      <c r="AJ24" s="29" t="s">
        <v>3</v>
      </c>
      <c r="AK24" s="29" t="s">
        <v>4</v>
      </c>
      <c r="AL24" s="29" t="s">
        <v>5</v>
      </c>
      <c r="AM24" s="29" t="s">
        <v>6</v>
      </c>
      <c r="AN24" s="29" t="s">
        <v>7</v>
      </c>
      <c r="AO24" s="29" t="s">
        <v>8</v>
      </c>
      <c r="AP24" s="29" t="s">
        <v>9</v>
      </c>
      <c r="AQ24" s="29" t="s">
        <v>10</v>
      </c>
      <c r="AR24" s="29" t="s">
        <v>11</v>
      </c>
      <c r="AS24" s="29" t="s">
        <v>12</v>
      </c>
      <c r="AT24" s="22"/>
      <c r="AU24" s="28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</row>
    <row r="25" spans="5:75" ht="27" customHeight="1" x14ac:dyDescent="0.2">
      <c r="F25" s="22"/>
      <c r="AF25" s="30" t="s">
        <v>0</v>
      </c>
      <c r="AG25" s="32"/>
      <c r="AH25" s="32">
        <v>20962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22"/>
      <c r="AU25" s="30"/>
      <c r="AV25" s="4" t="s">
        <v>48</v>
      </c>
      <c r="AW25" s="4"/>
      <c r="AX25" s="4"/>
      <c r="AY25" s="31">
        <f>SUMPRODUCT(AG25:AS37,BK10:BW22)</f>
        <v>4108552</v>
      </c>
      <c r="AZ25" s="4"/>
      <c r="BA25" s="4"/>
      <c r="BB25" s="4"/>
      <c r="BC25" s="4"/>
      <c r="BD25" s="4"/>
      <c r="BE25" s="4"/>
      <c r="BF25" s="4"/>
      <c r="BG25" s="4"/>
      <c r="BH25" s="4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</row>
    <row r="26" spans="5:75" ht="27" customHeight="1" x14ac:dyDescent="0.2">
      <c r="F26" s="22"/>
      <c r="AF26" s="30" t="s">
        <v>1</v>
      </c>
      <c r="AG26" s="32">
        <v>20962</v>
      </c>
      <c r="AH26" s="32"/>
      <c r="AI26" s="32">
        <v>20962</v>
      </c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22"/>
      <c r="AU26" s="30"/>
      <c r="AV26" s="4" t="s">
        <v>49</v>
      </c>
      <c r="AW26" s="4"/>
      <c r="AX26" s="4"/>
      <c r="AY26" s="33">
        <f>SUM(AG25:AS37)</f>
        <v>125772</v>
      </c>
      <c r="AZ26" s="4"/>
      <c r="BA26" s="4"/>
      <c r="BB26" s="4"/>
      <c r="BC26" s="4"/>
      <c r="BD26" s="4"/>
      <c r="BE26" s="4"/>
      <c r="BF26" s="4"/>
      <c r="BG26" s="4"/>
      <c r="BH26" s="4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</row>
    <row r="27" spans="5:75" ht="27" customHeight="1" x14ac:dyDescent="0.2">
      <c r="F27" s="22"/>
      <c r="AF27" s="30" t="s">
        <v>2</v>
      </c>
      <c r="AG27" s="32"/>
      <c r="AH27" s="32"/>
      <c r="AI27" s="32"/>
      <c r="AJ27" s="32">
        <v>20962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22"/>
      <c r="AU27" s="30"/>
      <c r="AV27" s="4" t="s">
        <v>50</v>
      </c>
      <c r="AW27" s="4"/>
      <c r="AX27" s="4"/>
      <c r="AY27" s="31">
        <f>AY25/AY26</f>
        <v>32.666666666666664</v>
      </c>
      <c r="AZ27" s="4"/>
      <c r="BA27" s="4"/>
      <c r="BB27" s="4"/>
      <c r="BC27" s="4"/>
      <c r="BD27" s="4"/>
      <c r="BE27" s="4"/>
      <c r="BF27" s="4"/>
      <c r="BG27" s="4"/>
      <c r="BH27" s="4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</row>
    <row r="28" spans="5:75" ht="27" customHeight="1" x14ac:dyDescent="0.2">
      <c r="F28" s="22"/>
      <c r="AF28" s="30" t="s">
        <v>3</v>
      </c>
      <c r="AG28" s="32"/>
      <c r="AH28" s="32"/>
      <c r="AI28" s="32"/>
      <c r="AJ28" s="32"/>
      <c r="AK28" s="32"/>
      <c r="AL28" s="32"/>
      <c r="AM28" s="32"/>
      <c r="AN28" s="32"/>
      <c r="AO28" s="32">
        <v>20962</v>
      </c>
      <c r="AP28" s="32"/>
      <c r="AQ28" s="32"/>
      <c r="AR28" s="32"/>
      <c r="AS28" s="32"/>
      <c r="AT28" s="22"/>
      <c r="AU28" s="30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</row>
    <row r="29" spans="5:75" ht="27" customHeight="1" x14ac:dyDescent="0.2">
      <c r="F29" s="22"/>
      <c r="AF29" s="30" t="s">
        <v>4</v>
      </c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22"/>
      <c r="AU29" s="30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</row>
    <row r="30" spans="5:75" ht="27" customHeight="1" x14ac:dyDescent="0.2">
      <c r="F30" s="22"/>
      <c r="AF30" s="30" t="s">
        <v>5</v>
      </c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22"/>
      <c r="AU30" s="30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</row>
    <row r="31" spans="5:75" ht="27" customHeight="1" x14ac:dyDescent="0.2">
      <c r="F31" s="22"/>
      <c r="AF31" s="30" t="s">
        <v>6</v>
      </c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22"/>
      <c r="AU31" s="30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</row>
    <row r="32" spans="5:75" ht="27" customHeight="1" x14ac:dyDescent="0.2">
      <c r="AF32" s="30" t="s">
        <v>7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22"/>
      <c r="AU32" s="30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</row>
    <row r="33" spans="31:75" ht="27" customHeight="1" x14ac:dyDescent="0.2">
      <c r="AF33" s="30" t="s">
        <v>8</v>
      </c>
      <c r="AG33" s="32"/>
      <c r="AH33" s="32"/>
      <c r="AI33" s="32"/>
      <c r="AJ33" s="32"/>
      <c r="AK33" s="32"/>
      <c r="AL33" s="32"/>
      <c r="AM33" s="32"/>
      <c r="AN33" s="32"/>
      <c r="AO33" s="32"/>
      <c r="AP33" s="32">
        <v>20962</v>
      </c>
      <c r="AQ33" s="32"/>
      <c r="AR33" s="32"/>
      <c r="AS33" s="32"/>
      <c r="AT33" s="22"/>
      <c r="AU33" s="30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</row>
    <row r="34" spans="31:75" ht="27" customHeight="1" x14ac:dyDescent="0.2">
      <c r="AF34" s="30" t="s">
        <v>9</v>
      </c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22"/>
      <c r="AU34" s="30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</row>
    <row r="35" spans="31:75" ht="27" customHeight="1" x14ac:dyDescent="0.2">
      <c r="AF35" s="30" t="s">
        <v>10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22"/>
      <c r="AU35" s="30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</row>
    <row r="36" spans="31:75" ht="27" customHeight="1" x14ac:dyDescent="0.2">
      <c r="AF36" s="30" t="s">
        <v>11</v>
      </c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22"/>
      <c r="AU36" s="30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</row>
    <row r="37" spans="31:75" ht="27" customHeight="1" x14ac:dyDescent="0.2">
      <c r="AF37" s="30" t="s">
        <v>12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22"/>
      <c r="AU37" s="30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</row>
    <row r="46" spans="31:75" ht="27" customHeight="1" x14ac:dyDescent="0.2">
      <c r="AE46" s="20">
        <v>14</v>
      </c>
      <c r="AF46" s="20">
        <v>350</v>
      </c>
      <c r="AG46">
        <f>AF46/14</f>
        <v>25</v>
      </c>
    </row>
    <row r="47" spans="31:75" ht="27" customHeight="1" x14ac:dyDescent="0.2">
      <c r="AE47" s="20">
        <v>14</v>
      </c>
      <c r="AF47" s="20">
        <v>70</v>
      </c>
      <c r="AG47">
        <f t="shared" ref="AG47:AG52" si="2">AF47/14</f>
        <v>5</v>
      </c>
    </row>
    <row r="48" spans="31:75" ht="27" customHeight="1" x14ac:dyDescent="0.2">
      <c r="AE48" s="20">
        <v>14</v>
      </c>
      <c r="AF48" s="20">
        <v>350</v>
      </c>
      <c r="AG48">
        <f t="shared" si="2"/>
        <v>25</v>
      </c>
    </row>
    <row r="49" spans="31:33" ht="27" customHeight="1" x14ac:dyDescent="0.2">
      <c r="AE49" s="20">
        <v>14</v>
      </c>
      <c r="AF49" s="20">
        <v>42</v>
      </c>
      <c r="AG49">
        <f t="shared" si="2"/>
        <v>3</v>
      </c>
    </row>
    <row r="50" spans="31:33" ht="27" customHeight="1" x14ac:dyDescent="0.2">
      <c r="AE50" s="20">
        <v>14</v>
      </c>
      <c r="AF50" s="20">
        <v>182</v>
      </c>
      <c r="AG50">
        <f t="shared" si="2"/>
        <v>13</v>
      </c>
    </row>
    <row r="51" spans="31:33" ht="27" customHeight="1" x14ac:dyDescent="0.2">
      <c r="AE51" s="20">
        <v>14</v>
      </c>
      <c r="AF51" s="20">
        <v>252</v>
      </c>
      <c r="AG51">
        <f t="shared" si="2"/>
        <v>18</v>
      </c>
    </row>
    <row r="52" spans="31:33" ht="27" customHeight="1" x14ac:dyDescent="0.2">
      <c r="AE52" s="20">
        <v>14</v>
      </c>
      <c r="AF52" s="20">
        <v>468</v>
      </c>
      <c r="AG52">
        <f t="shared" si="2"/>
        <v>33.428571428571431</v>
      </c>
    </row>
  </sheetData>
  <conditionalFormatting sqref="AG10:AS22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G25:AS37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V10:BH22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V25:BH37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K10:BW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82FF-7FCD-8A4D-88CE-3543B3EBE933}">
  <dimension ref="D6:Z21"/>
  <sheetViews>
    <sheetView showGridLines="0" topLeftCell="A3" zoomScale="80" zoomScaleNormal="80" workbookViewId="0">
      <selection activeCell="F9" sqref="F9:AA20"/>
    </sheetView>
  </sheetViews>
  <sheetFormatPr baseColWidth="10" defaultColWidth="8.33203125" defaultRowHeight="40" customHeight="1" x14ac:dyDescent="0.2"/>
  <sheetData>
    <row r="6" spans="4:26" ht="40" customHeight="1" x14ac:dyDescent="0.2">
      <c r="J6" s="44" t="s">
        <v>41</v>
      </c>
      <c r="K6" s="43" t="s">
        <v>51</v>
      </c>
    </row>
    <row r="7" spans="4:26" ht="40" customHeight="1" x14ac:dyDescent="0.2">
      <c r="I7" s="10" t="s">
        <v>53</v>
      </c>
      <c r="J7" s="10">
        <f>7*19*14*14</f>
        <v>26068</v>
      </c>
    </row>
    <row r="9" spans="4:26" ht="40" customHeight="1" thickBot="1" x14ac:dyDescent="0.25">
      <c r="G9" s="9"/>
      <c r="H9" s="9"/>
      <c r="I9" s="9"/>
      <c r="J9" s="9"/>
      <c r="K9" s="9"/>
      <c r="L9" s="9"/>
      <c r="M9" s="9"/>
    </row>
    <row r="10" spans="4:26" ht="40" customHeight="1" x14ac:dyDescent="0.2">
      <c r="G10" s="38"/>
      <c r="H10" s="46">
        <v>1</v>
      </c>
      <c r="I10" s="46">
        <v>2</v>
      </c>
      <c r="J10" s="46">
        <v>3</v>
      </c>
      <c r="K10" s="46">
        <v>4</v>
      </c>
      <c r="L10" s="46">
        <v>5</v>
      </c>
      <c r="M10" s="46">
        <v>6</v>
      </c>
      <c r="N10" s="46">
        <v>7</v>
      </c>
      <c r="O10" s="46">
        <v>8</v>
      </c>
      <c r="P10" s="46">
        <v>9</v>
      </c>
      <c r="Q10" s="46">
        <v>10</v>
      </c>
      <c r="R10" s="46">
        <v>11</v>
      </c>
      <c r="S10" s="46">
        <v>12</v>
      </c>
      <c r="T10" s="46">
        <v>13</v>
      </c>
      <c r="U10" s="46">
        <v>14</v>
      </c>
      <c r="V10" s="46">
        <v>15</v>
      </c>
      <c r="W10" s="46">
        <v>16</v>
      </c>
      <c r="X10" s="46">
        <v>17</v>
      </c>
      <c r="Y10" s="46">
        <v>18</v>
      </c>
      <c r="Z10" s="34">
        <v>19</v>
      </c>
    </row>
    <row r="11" spans="4:26" ht="40" customHeight="1" x14ac:dyDescent="0.2">
      <c r="G11" s="39">
        <v>1</v>
      </c>
      <c r="Z11" s="35"/>
    </row>
    <row r="12" spans="4:26" ht="40" customHeight="1" x14ac:dyDescent="0.2">
      <c r="G12" s="39">
        <v>2</v>
      </c>
      <c r="Z12" s="35"/>
    </row>
    <row r="13" spans="4:26" ht="40" customHeight="1" x14ac:dyDescent="0.2">
      <c r="D13" s="49" t="s">
        <v>34</v>
      </c>
      <c r="G13" s="39">
        <v>3</v>
      </c>
      <c r="Z13" s="35"/>
    </row>
    <row r="14" spans="4:26" ht="40" customHeight="1" x14ac:dyDescent="0.2">
      <c r="D14" s="49"/>
      <c r="G14" s="39">
        <v>4</v>
      </c>
      <c r="Z14" s="35"/>
    </row>
    <row r="15" spans="4:26" ht="40" customHeight="1" x14ac:dyDescent="0.2">
      <c r="G15" s="39">
        <v>5</v>
      </c>
      <c r="Z15" s="35"/>
    </row>
    <row r="16" spans="4:26" ht="40" customHeight="1" x14ac:dyDescent="0.2">
      <c r="G16" s="39">
        <v>6</v>
      </c>
      <c r="Z16" s="35"/>
    </row>
    <row r="17" spans="7:26" ht="40" customHeight="1" x14ac:dyDescent="0.2">
      <c r="G17" s="39">
        <v>7</v>
      </c>
      <c r="Z17" s="35"/>
    </row>
    <row r="18" spans="7:26" ht="40" customHeight="1" thickBot="1" x14ac:dyDescent="0.25">
      <c r="G18" s="40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</row>
    <row r="21" spans="7:26" ht="40" customHeight="1" x14ac:dyDescent="0.2">
      <c r="G21" s="9" t="s">
        <v>56</v>
      </c>
    </row>
  </sheetData>
  <mergeCells count="1">
    <mergeCell ref="D13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Matrix</vt:lpstr>
      <vt:lpstr>Step2</vt:lpstr>
      <vt:lpstr>Size Matrix</vt:lpstr>
      <vt:lpstr>Skeleton Layout</vt:lpstr>
      <vt:lpstr>Distance for Travel</vt:lpstr>
      <vt:lpstr>Final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Shankar Aadhithyaa</dc:creator>
  <cp:lastModifiedBy>Subramanian, Shankar Aadhithyaa</cp:lastModifiedBy>
  <dcterms:created xsi:type="dcterms:W3CDTF">2025-11-08T15:46:19Z</dcterms:created>
  <dcterms:modified xsi:type="dcterms:W3CDTF">2025-11-14T22:48:03Z</dcterms:modified>
</cp:coreProperties>
</file>