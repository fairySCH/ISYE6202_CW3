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aadhithyaa/Library/Mobile Documents/com~apple~CloudDocs/Studies/ISyE 6335/Casework-3/"/>
    </mc:Choice>
  </mc:AlternateContent>
  <xr:revisionPtr revIDLastSave="0" documentId="13_ncr:1_{40A2A295-0138-F444-A340-BF10E8F842F4}" xr6:coauthVersionLast="47" xr6:coauthVersionMax="47" xr10:uidLastSave="{00000000-0000-0000-0000-000000000000}"/>
  <bookViews>
    <workbookView xWindow="0" yWindow="680" windowWidth="29400" windowHeight="17340" activeTab="5" xr2:uid="{0D71519B-650F-3D41-AA73-1BC6CBA68DBE}"/>
  </bookViews>
  <sheets>
    <sheet name="Flow Matrix" sheetId="1" r:id="rId1"/>
    <sheet name="Step2" sheetId="3" r:id="rId2"/>
    <sheet name="Size Matrix" sheetId="4" r:id="rId3"/>
    <sheet name="Skeleton Layout" sheetId="5" r:id="rId4"/>
    <sheet name="Distance for Travel" sheetId="6" r:id="rId5"/>
    <sheet name="Final Layou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8" l="1"/>
  <c r="AA16" i="6"/>
  <c r="Z13" i="6"/>
  <c r="W11" i="6"/>
  <c r="U10" i="6"/>
  <c r="H13" i="3"/>
  <c r="H14" i="3"/>
  <c r="H15" i="3"/>
  <c r="H16" i="3"/>
  <c r="H12" i="3"/>
  <c r="J16" i="3" l="1"/>
  <c r="J15" i="3"/>
  <c r="J14" i="3"/>
  <c r="J13" i="3"/>
  <c r="J12" i="3"/>
  <c r="F16" i="3" l="1"/>
  <c r="F15" i="3"/>
  <c r="X9" i="1"/>
  <c r="X8" i="1"/>
  <c r="X7" i="1"/>
  <c r="X6" i="1"/>
  <c r="T47" i="6" l="1"/>
  <c r="T48" i="6"/>
  <c r="T49" i="6"/>
  <c r="T50" i="6"/>
  <c r="T51" i="6"/>
  <c r="T52" i="6"/>
  <c r="T46" i="6"/>
  <c r="AX11" i="6"/>
  <c r="AL26" i="6"/>
  <c r="BJ22" i="6"/>
  <c r="BH22" i="6"/>
  <c r="BG22" i="6"/>
  <c r="BF22" i="6"/>
  <c r="BE22" i="6"/>
  <c r="BD22" i="6"/>
  <c r="BC22" i="6"/>
  <c r="BB22" i="6"/>
  <c r="BA22" i="6"/>
  <c r="AZ22" i="6"/>
  <c r="AY22" i="6"/>
  <c r="AX22" i="6"/>
  <c r="BI21" i="6"/>
  <c r="BH21" i="6" s="1"/>
  <c r="BG21" i="6"/>
  <c r="BF21" i="6"/>
  <c r="BE21" i="6"/>
  <c r="BD21" i="6"/>
  <c r="BC21" i="6"/>
  <c r="BB21" i="6"/>
  <c r="BA21" i="6"/>
  <c r="AZ21" i="6"/>
  <c r="AY21" i="6"/>
  <c r="AX21" i="6"/>
  <c r="BH20" i="6"/>
  <c r="BG20" i="6"/>
  <c r="BF20" i="6"/>
  <c r="BE20" i="6"/>
  <c r="BD20" i="6"/>
  <c r="BC20" i="6"/>
  <c r="BB20" i="6"/>
  <c r="BA20" i="6"/>
  <c r="AZ20" i="6"/>
  <c r="AY20" i="6"/>
  <c r="AX20" i="6"/>
  <c r="BJ19" i="6"/>
  <c r="BI19" i="6"/>
  <c r="BH19" i="6"/>
  <c r="BG19" i="6"/>
  <c r="BE19" i="6"/>
  <c r="BD19" i="6"/>
  <c r="BC19" i="6"/>
  <c r="BB19" i="6"/>
  <c r="BA19" i="6"/>
  <c r="AZ19" i="6"/>
  <c r="AY19" i="6"/>
  <c r="AX19" i="6"/>
  <c r="BJ18" i="6"/>
  <c r="BI18" i="6"/>
  <c r="BH18" i="6"/>
  <c r="BF18" i="6"/>
  <c r="BE18" i="6"/>
  <c r="BD18" i="6"/>
  <c r="BC18" i="6"/>
  <c r="BB18" i="6"/>
  <c r="BA18" i="6"/>
  <c r="AZ18" i="6"/>
  <c r="AY18" i="6"/>
  <c r="AX18" i="6"/>
  <c r="BJ17" i="6"/>
  <c r="BI17" i="6"/>
  <c r="BH17" i="6"/>
  <c r="BE17" i="6"/>
  <c r="BD17" i="6"/>
  <c r="BC17" i="6"/>
  <c r="BB17" i="6"/>
  <c r="BA17" i="6"/>
  <c r="AZ17" i="6"/>
  <c r="AY17" i="6"/>
  <c r="AX17" i="6"/>
  <c r="BJ16" i="6"/>
  <c r="BI16" i="6"/>
  <c r="BE16" i="6" s="1"/>
  <c r="BH16" i="6"/>
  <c r="BG16" i="6"/>
  <c r="BD16" i="6"/>
  <c r="BA16" i="6"/>
  <c r="AZ16" i="6"/>
  <c r="AY16" i="6"/>
  <c r="AX16" i="6"/>
  <c r="BJ15" i="6"/>
  <c r="BI15" i="6"/>
  <c r="BE15" i="6" s="1"/>
  <c r="BH15" i="6"/>
  <c r="BG15" i="6"/>
  <c r="BC15" i="6"/>
  <c r="BB15" i="6"/>
  <c r="BA15" i="6"/>
  <c r="AY15" i="6"/>
  <c r="AX15" i="6"/>
  <c r="BJ14" i="6"/>
  <c r="BI14" i="6"/>
  <c r="BE14" i="6" s="1"/>
  <c r="BH14" i="6"/>
  <c r="BG14" i="6"/>
  <c r="BF14" i="6"/>
  <c r="BB14" i="6"/>
  <c r="BA14" i="6"/>
  <c r="AZ14" i="6"/>
  <c r="AY14" i="6"/>
  <c r="AX14" i="6"/>
  <c r="BD14" i="6"/>
  <c r="BC14" i="6"/>
  <c r="BJ13" i="6"/>
  <c r="BI13" i="6"/>
  <c r="BH13" i="6"/>
  <c r="BG13" i="6"/>
  <c r="BC13" i="6"/>
  <c r="BB13" i="6"/>
  <c r="BA13" i="6"/>
  <c r="AY13" i="6"/>
  <c r="AX13" i="6"/>
  <c r="BJ12" i="6"/>
  <c r="BI12" i="6"/>
  <c r="BH12" i="6"/>
  <c r="BG12" i="6"/>
  <c r="BE12" i="6"/>
  <c r="BD12" i="6"/>
  <c r="BC12" i="6"/>
  <c r="BB12" i="6"/>
  <c r="AZ12" i="6"/>
  <c r="AY12" i="6"/>
  <c r="AX12" i="6"/>
  <c r="BJ11" i="6"/>
  <c r="BI11" i="6"/>
  <c r="BH11" i="6"/>
  <c r="BG11" i="6"/>
  <c r="BF11" i="6"/>
  <c r="BE11" i="6"/>
  <c r="BD11" i="6"/>
  <c r="BC11" i="6"/>
  <c r="BB11" i="6"/>
  <c r="AY11" i="6"/>
  <c r="BJ10" i="6"/>
  <c r="BI10" i="6"/>
  <c r="AY10" i="6" s="1"/>
  <c r="BH10" i="6"/>
  <c r="BG10" i="6"/>
  <c r="BF10" i="6"/>
  <c r="BE10" i="6"/>
  <c r="BD10" i="6"/>
  <c r="BC10" i="6"/>
  <c r="BB10" i="6"/>
  <c r="BA10" i="6"/>
  <c r="F13" i="3"/>
  <c r="F14" i="3"/>
  <c r="F12" i="3"/>
  <c r="BD13" i="6" l="1"/>
  <c r="AZ13" i="6"/>
  <c r="BG17" i="6"/>
  <c r="BB16" i="6"/>
  <c r="BG18" i="6"/>
  <c r="BD15" i="6"/>
  <c r="AZ15" i="6"/>
  <c r="BJ21" i="6"/>
  <c r="BE13" i="6"/>
  <c r="AZ11" i="6"/>
  <c r="AZ10" i="6"/>
  <c r="BC16" i="6"/>
  <c r="AX10" i="6"/>
  <c r="G16" i="3"/>
  <c r="K16" i="3" s="1"/>
  <c r="G15" i="3"/>
  <c r="K15" i="3" s="1"/>
  <c r="G14" i="3"/>
  <c r="K14" i="3" s="1"/>
  <c r="G13" i="3"/>
  <c r="K13" i="3" s="1"/>
  <c r="G12" i="3"/>
  <c r="K12" i="3" s="1"/>
  <c r="X4" i="1" l="1"/>
  <c r="Y9" i="1" s="1"/>
  <c r="Y8" i="1" l="1"/>
  <c r="Y7" i="1"/>
  <c r="Y6" i="1"/>
  <c r="Z6" i="1" s="1"/>
  <c r="BA11" i="6"/>
  <c r="BA12" i="6"/>
  <c r="BJ20" i="6"/>
  <c r="BI20" i="6"/>
  <c r="BI22" i="6"/>
  <c r="BF15" i="6"/>
  <c r="BF17" i="6"/>
  <c r="BF12" i="6"/>
  <c r="BF19" i="6"/>
  <c r="BF13" i="6"/>
  <c r="BF16" i="6"/>
  <c r="Z7" i="1" l="1"/>
  <c r="Z8" i="1" s="1"/>
  <c r="Z9" i="1" s="1"/>
  <c r="AL25" i="6"/>
  <c r="AL27" i="6" s="1"/>
</calcChain>
</file>

<file path=xl/sharedStrings.xml><?xml version="1.0" encoding="utf-8"?>
<sst xmlns="http://schemas.openxmlformats.org/spreadsheetml/2006/main" count="196" uniqueCount="55">
  <si>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</si>
  <si>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</si>
  <si>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</si>
  <si>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</si>
  <si>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</si>
  <si>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</si>
  <si>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</si>
  <si>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</si>
  <si>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</si>
  <si>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</si>
  <si>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</si>
  <si>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</si>
  <si>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</si>
  <si>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Total Flow</t>
  </si>
  <si>
    <t>% of total flow</t>
  </si>
  <si>
    <t>Cum flow%</t>
  </si>
  <si>
    <t>Equal flow across all machines</t>
  </si>
  <si>
    <t>Process</t>
  </si>
  <si>
    <t>Total_Equipment</t>
  </si>
  <si>
    <t>Utilization_per_Center</t>
  </si>
  <si>
    <t>Area per eqp ft2</t>
  </si>
  <si>
    <t>Total area of each eqp centre ft2</t>
  </si>
  <si>
    <t xml:space="preserve">L </t>
  </si>
  <si>
    <t>W</t>
  </si>
  <si>
    <t>ABCD</t>
  </si>
  <si>
    <t>Part</t>
  </si>
  <si>
    <t>Total_Machines</t>
  </si>
  <si>
    <t>14 Ft</t>
  </si>
  <si>
    <t>1unit</t>
  </si>
  <si>
    <t>1unit=</t>
  </si>
  <si>
    <t>X</t>
  </si>
  <si>
    <t>Y</t>
  </si>
  <si>
    <t>centre to centre distance (X axis)</t>
  </si>
  <si>
    <t>centre to centre distance (Y axis)</t>
  </si>
  <si>
    <t>Dist</t>
  </si>
  <si>
    <t>total distance</t>
  </si>
  <si>
    <t>Total flow</t>
  </si>
  <si>
    <t>Distance per trip</t>
  </si>
  <si>
    <t>14ft</t>
  </si>
  <si>
    <t>B-&gt;D</t>
  </si>
  <si>
    <t>P4</t>
  </si>
  <si>
    <t>A-&gt;B</t>
  </si>
  <si>
    <t>D-&gt;G</t>
  </si>
  <si>
    <t>G-&gt;H</t>
  </si>
  <si>
    <t>EFG</t>
  </si>
  <si>
    <t>GROUP</t>
  </si>
  <si>
    <t>A: 3.0</t>
  </si>
  <si>
    <t>B: 5.0</t>
  </si>
  <si>
    <t>D: 7.0</t>
  </si>
  <si>
    <t>G: 1.0</t>
  </si>
  <si>
    <t>H: 3.0</t>
  </si>
  <si>
    <t>Area</t>
  </si>
  <si>
    <t>Aspect ratio 1unit=14ft L</t>
  </si>
  <si>
    <t>Aspect ratio 1unit=14ft W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</si>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</sst>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8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theme="0"/>
      <name val="Helvetica Neue"/>
      <family val="2"/>
    </font>
    <font>
      <sz val="18"/>
      <color theme="0"/>
      <name val="Aptos Narrow"/>
      <family val="2"/>
      <scheme val="minor"/>
    </font>
    <font>
      <sz val="10"/>
      <color theme="1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</cellStyleXfs>
  <cellXfs count="67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top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9" fontId="7" fillId="0" borderId="4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8" fillId="6" borderId="1" xfId="0" applyFont="1" applyFill="1" applyBorder="1" applyAlignment="1">
      <alignment vertical="top"/>
    </xf>
    <xf numFmtId="49" fontId="8" fillId="6" borderId="1" xfId="0" applyNumberFormat="1" applyFont="1" applyFill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" fontId="0" fillId="7" borderId="1" xfId="0" applyNumberFormat="1" applyFill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1" fontId="9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1" fontId="11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9" fillId="0" borderId="1" xfId="0" applyFont="1" applyBorder="1"/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/>
    <xf numFmtId="0" fontId="5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9" fillId="3" borderId="1" xfId="0" applyFont="1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Border="1" applyAlignment="1"/>
    <xf numFmtId="0" fontId="0" fillId="0" borderId="10" xfId="0" applyBorder="1" applyAlignment="1">
      <alignment horizontal="right" vertical="center"/>
    </xf>
  </cellXfs>
  <cellStyles count="3">
    <cellStyle name="Normal" xfId="0" builtinId="0"/>
    <cellStyle name="Normal 2" xfId="2" xr:uid="{C231D0D1-2CAF-444F-B2E8-676768CA1C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154212</xdr:colOff>
      <xdr:row>5</xdr:row>
      <xdr:rowOff>136069</xdr:rowOff>
    </xdr:from>
    <xdr:to>
      <xdr:col>27</xdr:col>
      <xdr:colOff>312962</xdr:colOff>
      <xdr:row>5</xdr:row>
      <xdr:rowOff>144006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190266-6C58-DD4B-8881-B67F08CA9B4C}"/>
            </a:ext>
          </a:extLst>
        </xdr:cNvPr>
        <xdr:cNvCxnSpPr/>
      </xdr:nvCxnSpPr>
      <xdr:spPr>
        <a:xfrm>
          <a:off x="13770426" y="1750783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6</xdr:row>
      <xdr:rowOff>63498</xdr:rowOff>
    </xdr:from>
    <xdr:to>
      <xdr:col>27</xdr:col>
      <xdr:colOff>285748</xdr:colOff>
      <xdr:row>6</xdr:row>
      <xdr:rowOff>71435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16D7737-6DAA-7042-A3F7-E6C2639B5BD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7</xdr:row>
      <xdr:rowOff>63498</xdr:rowOff>
    </xdr:from>
    <xdr:to>
      <xdr:col>27</xdr:col>
      <xdr:colOff>285748</xdr:colOff>
      <xdr:row>7</xdr:row>
      <xdr:rowOff>71435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AC30D3B-FAFE-A84B-9FD5-A0C51A3A69A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8</xdr:row>
      <xdr:rowOff>63498</xdr:rowOff>
    </xdr:from>
    <xdr:to>
      <xdr:col>27</xdr:col>
      <xdr:colOff>285748</xdr:colOff>
      <xdr:row>8</xdr:row>
      <xdr:rowOff>71435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AD63283-F222-914E-8BCE-FFBEDC48679E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11</xdr:row>
      <xdr:rowOff>12700</xdr:rowOff>
    </xdr:from>
    <xdr:to>
      <xdr:col>15</xdr:col>
      <xdr:colOff>177800</xdr:colOff>
      <xdr:row>12</xdr:row>
      <xdr:rowOff>25400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598ACED-C03C-8344-AEA4-88DDA35BF71A}"/>
            </a:ext>
          </a:extLst>
        </xdr:cNvPr>
        <xdr:cNvGrpSpPr/>
      </xdr:nvGrpSpPr>
      <xdr:grpSpPr>
        <a:xfrm>
          <a:off x="8750300" y="5600700"/>
          <a:ext cx="952500" cy="520700"/>
          <a:chOff x="9071066" y="14609355"/>
          <a:chExt cx="1330960" cy="1258388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4271E6EB-DA75-87BD-4565-12B7C8A4A4CF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EEA3A154-CA28-82AC-96E9-1258566EDA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B4C61D06-2579-D2AD-FA58-9EF09E5771ED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70ED3FE2-59E7-C9B0-0261-ED52F919C839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16</xdr:col>
      <xdr:colOff>12700</xdr:colOff>
      <xdr:row>9</xdr:row>
      <xdr:rowOff>495298</xdr:rowOff>
    </xdr:from>
    <xdr:to>
      <xdr:col>18</xdr:col>
      <xdr:colOff>0</xdr:colOff>
      <xdr:row>14</xdr:row>
      <xdr:rowOff>12700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0117A99-E23A-8442-8590-C8D6E2B86159}"/>
            </a:ext>
          </a:extLst>
        </xdr:cNvPr>
        <xdr:cNvGrpSpPr/>
      </xdr:nvGrpSpPr>
      <xdr:grpSpPr>
        <a:xfrm>
          <a:off x="10172700" y="5067298"/>
          <a:ext cx="1257300" cy="2057402"/>
          <a:chOff x="4236358" y="10468429"/>
          <a:chExt cx="2450052" cy="2467429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3BC54881-5B87-B302-1536-111254FFD692}"/>
              </a:ext>
            </a:extLst>
          </xdr:cNvPr>
          <xdr:cNvGrpSpPr/>
        </xdr:nvGrpSpPr>
        <xdr:grpSpPr>
          <a:xfrm>
            <a:off x="4236358" y="10468429"/>
            <a:ext cx="2450052" cy="2467429"/>
            <a:chOff x="5969000" y="3564467"/>
            <a:chExt cx="3056466" cy="926643"/>
          </a:xfrm>
        </xdr:grpSpPr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27781B46-197F-547C-9086-78BBD0CE31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21809"/>
            </a:xfrm>
            <a:prstGeom prst="rect">
              <a:avLst/>
            </a:prstGeom>
          </xdr:spPr>
        </xdr:pic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559AD7D3-844F-ABE7-B0BC-D46CDF60546D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1DABB1D-101D-D81F-269A-384070F4AD51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6</xdr:col>
      <xdr:colOff>0</xdr:colOff>
      <xdr:row>10</xdr:row>
      <xdr:rowOff>12701</xdr:rowOff>
    </xdr:from>
    <xdr:to>
      <xdr:col>7</xdr:col>
      <xdr:colOff>12700</xdr:colOff>
      <xdr:row>13</xdr:row>
      <xdr:rowOff>25401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D333861-ACD9-5F42-B9FA-942975EE35DC}"/>
            </a:ext>
          </a:extLst>
        </xdr:cNvPr>
        <xdr:cNvGrpSpPr/>
      </xdr:nvGrpSpPr>
      <xdr:grpSpPr>
        <a:xfrm>
          <a:off x="3810000" y="5092701"/>
          <a:ext cx="647700" cy="1536700"/>
          <a:chOff x="3647441" y="19785639"/>
          <a:chExt cx="1168400" cy="1265881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23E9DDDF-8101-15C4-8127-FEC4E9B0C216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24A43226-2404-F4EA-321F-87048720AE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57CFA8CA-4C4E-0E73-7F26-B0A30A07B1C2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5603E27-1808-EBE9-5742-6D25269758CB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8</xdr:col>
      <xdr:colOff>25399</xdr:colOff>
      <xdr:row>10</xdr:row>
      <xdr:rowOff>12701</xdr:rowOff>
    </xdr:from>
    <xdr:to>
      <xdr:col>10</xdr:col>
      <xdr:colOff>25400</xdr:colOff>
      <xdr:row>12</xdr:row>
      <xdr:rowOff>317500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17E66E6-442F-C84E-A68A-A4C4C838A482}"/>
            </a:ext>
          </a:extLst>
        </xdr:cNvPr>
        <xdr:cNvGrpSpPr/>
      </xdr:nvGrpSpPr>
      <xdr:grpSpPr>
        <a:xfrm>
          <a:off x="5105399" y="5092701"/>
          <a:ext cx="1270001" cy="1320799"/>
          <a:chOff x="7403600" y="19633475"/>
          <a:chExt cx="1431609" cy="2135415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8350DCE8-5389-5D2F-EEC1-445ED7C3DA1F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6F465F05-5720-E141-B730-1BDDCD305E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44FBE126-6560-2C03-B141-5112C1B827DE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46341082-C6F8-905C-6366-07F90719547E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11</xdr:col>
      <xdr:colOff>12700</xdr:colOff>
      <xdr:row>10</xdr:row>
      <xdr:rowOff>0</xdr:rowOff>
    </xdr:from>
    <xdr:to>
      <xdr:col>13</xdr:col>
      <xdr:colOff>12700</xdr:colOff>
      <xdr:row>13</xdr:row>
      <xdr:rowOff>317500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2C23B66-1319-2F4A-AAE4-ECF4DD6A6EE5}"/>
            </a:ext>
          </a:extLst>
        </xdr:cNvPr>
        <xdr:cNvGrpSpPr/>
      </xdr:nvGrpSpPr>
      <xdr:grpSpPr>
        <a:xfrm>
          <a:off x="6997700" y="5080000"/>
          <a:ext cx="1270000" cy="1841500"/>
          <a:chOff x="3655786" y="1115787"/>
          <a:chExt cx="1914071" cy="2485569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6B8A1C37-2875-2BBF-D663-23D6D4ACDD4C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EE0880A3-70FE-C54F-AC9B-C964A005C0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4071B54C-1E2E-5853-49A9-49D2A0D7BDBB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EDAB6453-F157-4D71-2B41-17D25507A18E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7</xdr:col>
      <xdr:colOff>12700</xdr:colOff>
      <xdr:row>11</xdr:row>
      <xdr:rowOff>156561</xdr:rowOff>
    </xdr:from>
    <xdr:to>
      <xdr:col>8</xdr:col>
      <xdr:colOff>26179</xdr:colOff>
      <xdr:row>11</xdr:row>
      <xdr:rowOff>276717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98033E9-F7BA-A545-BD0E-47EFA360E44E}"/>
            </a:ext>
          </a:extLst>
        </xdr:cNvPr>
        <xdr:cNvCxnSpPr>
          <a:stCxn id="40" idx="3"/>
          <a:endCxn id="45" idx="1"/>
        </xdr:cNvCxnSpPr>
      </xdr:nvCxnSpPr>
      <xdr:spPr>
        <a:xfrm flipV="1">
          <a:off x="4457700" y="5744561"/>
          <a:ext cx="648479" cy="120156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25400</xdr:colOff>
      <xdr:row>11</xdr:row>
      <xdr:rowOff>156561</xdr:rowOff>
    </xdr:from>
    <xdr:to>
      <xdr:col>11</xdr:col>
      <xdr:colOff>12700</xdr:colOff>
      <xdr:row>11</xdr:row>
      <xdr:rowOff>402669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F6A25D7-5F26-904A-89E1-66B378216143}"/>
            </a:ext>
          </a:extLst>
        </xdr:cNvPr>
        <xdr:cNvCxnSpPr>
          <a:stCxn id="45" idx="3"/>
          <a:endCxn id="51" idx="1"/>
        </xdr:cNvCxnSpPr>
      </xdr:nvCxnSpPr>
      <xdr:spPr>
        <a:xfrm>
          <a:off x="6375400" y="5744561"/>
          <a:ext cx="622300" cy="246108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15</xdr:col>
      <xdr:colOff>177800</xdr:colOff>
      <xdr:row>11</xdr:row>
      <xdr:rowOff>273050</xdr:rowOff>
    </xdr:from>
    <xdr:to>
      <xdr:col>16</xdr:col>
      <xdr:colOff>17355</xdr:colOff>
      <xdr:row>11</xdr:row>
      <xdr:rowOff>507999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FE5801A6-4FF6-9041-856E-88FC61F64CE5}"/>
            </a:ext>
          </a:extLst>
        </xdr:cNvPr>
        <xdr:cNvCxnSpPr>
          <a:stCxn id="24" idx="3"/>
          <a:endCxn id="29" idx="1"/>
        </xdr:cNvCxnSpPr>
      </xdr:nvCxnSpPr>
      <xdr:spPr>
        <a:xfrm>
          <a:off x="9702800" y="5861050"/>
          <a:ext cx="474555" cy="234949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13</xdr:col>
      <xdr:colOff>6681</xdr:colOff>
      <xdr:row>11</xdr:row>
      <xdr:rowOff>273050</xdr:rowOff>
    </xdr:from>
    <xdr:to>
      <xdr:col>13</xdr:col>
      <xdr:colOff>495300</xdr:colOff>
      <xdr:row>11</xdr:row>
      <xdr:rowOff>402669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A301FB6-1885-494E-99FC-E1F501E1228C}"/>
            </a:ext>
          </a:extLst>
        </xdr:cNvPr>
        <xdr:cNvCxnSpPr>
          <a:stCxn id="51" idx="3"/>
          <a:endCxn id="24" idx="1"/>
        </xdr:cNvCxnSpPr>
      </xdr:nvCxnSpPr>
      <xdr:spPr>
        <a:xfrm flipV="1">
          <a:off x="8261681" y="5861050"/>
          <a:ext cx="488619" cy="129619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15875</xdr:colOff>
      <xdr:row>10</xdr:row>
      <xdr:rowOff>250825</xdr:rowOff>
    </xdr:from>
    <xdr:to>
      <xdr:col>16</xdr:col>
      <xdr:colOff>15875</xdr:colOff>
      <xdr:row>11</xdr:row>
      <xdr:rowOff>263525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6CEE376-C874-CD4D-9CB3-2ED0F360E22F}"/>
            </a:ext>
          </a:extLst>
        </xdr:cNvPr>
        <xdr:cNvGrpSpPr/>
      </xdr:nvGrpSpPr>
      <xdr:grpSpPr>
        <a:xfrm>
          <a:off x="9540875" y="5330825"/>
          <a:ext cx="635000" cy="520700"/>
          <a:chOff x="9071066" y="14609355"/>
          <a:chExt cx="1330960" cy="1258388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23D7380D-AB1C-BF87-0D23-FF3B25915FF4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AAC9B3A3-FB63-EF29-AC58-18EDBD0598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19183BC4-A314-FBDB-B24A-C4F091B667C4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3EBD319-1601-8353-50A1-1C9E92E4FB28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16</xdr:col>
      <xdr:colOff>12700</xdr:colOff>
      <xdr:row>8</xdr:row>
      <xdr:rowOff>495298</xdr:rowOff>
    </xdr:from>
    <xdr:to>
      <xdr:col>18</xdr:col>
      <xdr:colOff>0</xdr:colOff>
      <xdr:row>13</xdr:row>
      <xdr:rowOff>12700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6D361AA-D612-BE4A-8CCC-AFC21512886E}"/>
            </a:ext>
          </a:extLst>
        </xdr:cNvPr>
        <xdr:cNvGrpSpPr/>
      </xdr:nvGrpSpPr>
      <xdr:grpSpPr>
        <a:xfrm>
          <a:off x="10172700" y="4559298"/>
          <a:ext cx="1257300" cy="2057402"/>
          <a:chOff x="4236358" y="10468429"/>
          <a:chExt cx="2450052" cy="2467429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AD4E86C-991C-6796-EEB2-6B29EED218BA}"/>
              </a:ext>
            </a:extLst>
          </xdr:cNvPr>
          <xdr:cNvGrpSpPr/>
        </xdr:nvGrpSpPr>
        <xdr:grpSpPr>
          <a:xfrm>
            <a:off x="4236358" y="10468429"/>
            <a:ext cx="2450052" cy="2467429"/>
            <a:chOff x="5969000" y="3564467"/>
            <a:chExt cx="3056466" cy="926643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9EB4E7B3-4D4B-14CF-F9F2-9E6E9AD780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21809"/>
            </a:xfrm>
            <a:prstGeom prst="rect">
              <a:avLst/>
            </a:prstGeom>
          </xdr:spPr>
        </xdr:pic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58B3F20E-CFEA-F844-5AF9-1BCCF0F96765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3E3D1D0-F425-2799-F5D2-37171D91DC8C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10</xdr:col>
      <xdr:colOff>15875</xdr:colOff>
      <xdr:row>9</xdr:row>
      <xdr:rowOff>298451</xdr:rowOff>
    </xdr:from>
    <xdr:to>
      <xdr:col>11</xdr:col>
      <xdr:colOff>15875</xdr:colOff>
      <xdr:row>12</xdr:row>
      <xdr:rowOff>311151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7A6F937-3964-644B-B64E-0B6F1B060074}"/>
            </a:ext>
          </a:extLst>
        </xdr:cNvPr>
        <xdr:cNvGrpSpPr/>
      </xdr:nvGrpSpPr>
      <xdr:grpSpPr>
        <a:xfrm>
          <a:off x="6365875" y="4870451"/>
          <a:ext cx="635000" cy="1536700"/>
          <a:chOff x="3647441" y="19785639"/>
          <a:chExt cx="1168400" cy="1265881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AFAB0F5A-A401-53DA-6071-EB2C5224F33D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ABDCD83E-357E-B696-14DD-2C64483C29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D79E6B69-1AA8-B196-F754-458DC80D2420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AAB5821-6A61-E7DE-0C87-54A9BFD53CEB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11</xdr:col>
      <xdr:colOff>25399</xdr:colOff>
      <xdr:row>9</xdr:row>
      <xdr:rowOff>425451</xdr:rowOff>
    </xdr:from>
    <xdr:to>
      <xdr:col>13</xdr:col>
      <xdr:colOff>0</xdr:colOff>
      <xdr:row>12</xdr:row>
      <xdr:rowOff>222250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DD048B2B-E6A8-0344-B583-CD040962A3EF}"/>
            </a:ext>
          </a:extLst>
        </xdr:cNvPr>
        <xdr:cNvGrpSpPr/>
      </xdr:nvGrpSpPr>
      <xdr:grpSpPr>
        <a:xfrm>
          <a:off x="7010399" y="4997451"/>
          <a:ext cx="1244601" cy="1320799"/>
          <a:chOff x="7403600" y="19633475"/>
          <a:chExt cx="1431609" cy="2135415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CBAFD4B6-5795-EA00-114A-EB4E678619FA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493C2FAD-4D3F-D0B9-5624-BA2D2BA0F9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96BC649D-4B75-EF82-0CDA-F4BA0B790DE3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6D263D3-D6A3-0A33-B8D3-60742A0261F9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13</xdr:col>
      <xdr:colOff>12700</xdr:colOff>
      <xdr:row>9</xdr:row>
      <xdr:rowOff>111125</xdr:rowOff>
    </xdr:from>
    <xdr:to>
      <xdr:col>15</xdr:col>
      <xdr:colOff>0</xdr:colOff>
      <xdr:row>12</xdr:row>
      <xdr:rowOff>428625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85E51E95-50AE-E044-A3B7-35AD2734BA6A}"/>
            </a:ext>
          </a:extLst>
        </xdr:cNvPr>
        <xdr:cNvGrpSpPr/>
      </xdr:nvGrpSpPr>
      <xdr:grpSpPr>
        <a:xfrm>
          <a:off x="8267700" y="4683125"/>
          <a:ext cx="1257300" cy="1841500"/>
          <a:chOff x="3655786" y="1115787"/>
          <a:chExt cx="1914071" cy="2485569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8A6D4E09-6F1F-B4B0-8D9F-13E4D4E03B84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2C4CF57A-4C80-A307-F6CD-F24A55DCA6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2D3A289C-28AD-D2C2-C118-35DF07725687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766F82E2-BA1F-12DB-BA5A-BEDFA582219D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12</xdr:row>
      <xdr:rowOff>250825</xdr:rowOff>
    </xdr:from>
    <xdr:to>
      <xdr:col>15</xdr:col>
      <xdr:colOff>15875</xdr:colOff>
      <xdr:row>13</xdr:row>
      <xdr:rowOff>263525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FAB6620-9C3A-EC4D-BAAE-C984A84F63DF}"/>
            </a:ext>
          </a:extLst>
        </xdr:cNvPr>
        <xdr:cNvGrpSpPr/>
      </xdr:nvGrpSpPr>
      <xdr:grpSpPr>
        <a:xfrm>
          <a:off x="8905875" y="6346825"/>
          <a:ext cx="635000" cy="520700"/>
          <a:chOff x="9071066" y="14609355"/>
          <a:chExt cx="1330960" cy="1258388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214CF8A-6587-636A-F93E-9B075607A470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280964C0-4CF9-E05F-4DF3-B217F49851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2734E48-7F48-9EB4-9EC6-4184BA0D34A1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79D956D-AC8E-572F-E116-223960719DC1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15</xdr:col>
      <xdr:colOff>12700</xdr:colOff>
      <xdr:row>10</xdr:row>
      <xdr:rowOff>495298</xdr:rowOff>
    </xdr:from>
    <xdr:to>
      <xdr:col>17</xdr:col>
      <xdr:colOff>0</xdr:colOff>
      <xdr:row>15</xdr:row>
      <xdr:rowOff>12700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236AD65-F3EF-D444-8B57-C0CC95CCA8B7}"/>
            </a:ext>
          </a:extLst>
        </xdr:cNvPr>
        <xdr:cNvGrpSpPr/>
      </xdr:nvGrpSpPr>
      <xdr:grpSpPr>
        <a:xfrm>
          <a:off x="9537700" y="5575298"/>
          <a:ext cx="1257300" cy="2057402"/>
          <a:chOff x="4236358" y="10468429"/>
          <a:chExt cx="2450052" cy="2467429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FCCD84D-FE28-6865-F31F-42988B3B41F7}"/>
              </a:ext>
            </a:extLst>
          </xdr:cNvPr>
          <xdr:cNvGrpSpPr/>
        </xdr:nvGrpSpPr>
        <xdr:grpSpPr>
          <a:xfrm>
            <a:off x="4236358" y="10468429"/>
            <a:ext cx="2450052" cy="2467429"/>
            <a:chOff x="5969000" y="3564467"/>
            <a:chExt cx="3056466" cy="926643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CF445631-147B-E280-F79F-C89BF25854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21809"/>
            </a:xfrm>
            <a:prstGeom prst="rect">
              <a:avLst/>
            </a:prstGeom>
          </xdr:spPr>
        </xdr:pic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918633F-97DA-A3A0-29FF-9B2FBF240CB5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B7A62936-B3E0-EE37-920C-4BA45322496C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9</xdr:col>
      <xdr:colOff>15875</xdr:colOff>
      <xdr:row>11</xdr:row>
      <xdr:rowOff>298451</xdr:rowOff>
    </xdr:from>
    <xdr:to>
      <xdr:col>10</xdr:col>
      <xdr:colOff>15875</xdr:colOff>
      <xdr:row>14</xdr:row>
      <xdr:rowOff>311151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0B02FB8-F135-E644-9F48-C22E551F38DE}"/>
            </a:ext>
          </a:extLst>
        </xdr:cNvPr>
        <xdr:cNvGrpSpPr/>
      </xdr:nvGrpSpPr>
      <xdr:grpSpPr>
        <a:xfrm>
          <a:off x="5730875" y="5886451"/>
          <a:ext cx="635000" cy="1536700"/>
          <a:chOff x="3647441" y="19785639"/>
          <a:chExt cx="1168400" cy="1265881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B7E0EA04-B561-6DD6-9296-43B7E9EB7508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53A1B65B-E02C-BF4E-58DB-F621C31E5D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F2BFB1B1-3748-EB16-B8BD-164E939AF7D3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FF21D7A9-68FE-7FFA-34C3-C0F4997D6A2F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10</xdr:col>
      <xdr:colOff>25399</xdr:colOff>
      <xdr:row>11</xdr:row>
      <xdr:rowOff>425451</xdr:rowOff>
    </xdr:from>
    <xdr:to>
      <xdr:col>12</xdr:col>
      <xdr:colOff>0</xdr:colOff>
      <xdr:row>14</xdr:row>
      <xdr:rowOff>222250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3411460-414D-9149-B5C1-BA50AC790D2D}"/>
            </a:ext>
          </a:extLst>
        </xdr:cNvPr>
        <xdr:cNvGrpSpPr/>
      </xdr:nvGrpSpPr>
      <xdr:grpSpPr>
        <a:xfrm>
          <a:off x="6375399" y="6013451"/>
          <a:ext cx="1244601" cy="1320799"/>
          <a:chOff x="7403600" y="19633475"/>
          <a:chExt cx="1431609" cy="2135415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76370D24-00CE-C8ED-A95A-DB4151C5608C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C5AB1B84-4B93-81AC-23EB-1E79FD7D41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4989477A-D90E-3482-BC10-7412C15337E1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7126B3EC-5F77-83E2-3749-D255EA7854DD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12</xdr:col>
      <xdr:colOff>12700</xdr:colOff>
      <xdr:row>11</xdr:row>
      <xdr:rowOff>111125</xdr:rowOff>
    </xdr:from>
    <xdr:to>
      <xdr:col>14</xdr:col>
      <xdr:colOff>0</xdr:colOff>
      <xdr:row>14</xdr:row>
      <xdr:rowOff>428625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FD0E090-B434-6D47-8475-EA60A2FBAA57}"/>
            </a:ext>
          </a:extLst>
        </xdr:cNvPr>
        <xdr:cNvGrpSpPr/>
      </xdr:nvGrpSpPr>
      <xdr:grpSpPr>
        <a:xfrm>
          <a:off x="7632700" y="5699125"/>
          <a:ext cx="1257300" cy="1841500"/>
          <a:chOff x="3655786" y="1115787"/>
          <a:chExt cx="1914071" cy="2485569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86B90F14-DE91-251B-6513-467E8F032BAF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D4526AFC-E449-C501-1763-06B485305D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74600EAA-DCAC-8C1A-0D39-9837236BDD44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9701F94C-3126-9B8E-E966-362B9DA2CB63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9</xdr:col>
      <xdr:colOff>479778</xdr:colOff>
      <xdr:row>12</xdr:row>
      <xdr:rowOff>409222</xdr:rowOff>
    </xdr:from>
    <xdr:to>
      <xdr:col>10</xdr:col>
      <xdr:colOff>268111</xdr:colOff>
      <xdr:row>13</xdr:row>
      <xdr:rowOff>129170</xdr:rowOff>
    </xdr:to>
    <xdr:sp macro="" textlink="">
      <xdr:nvSpPr>
        <xdr:cNvPr id="27" name="Right Arrow 26">
          <a:extLst>
            <a:ext uri="{FF2B5EF4-FFF2-40B4-BE49-F238E27FC236}">
              <a16:creationId xmlns:a16="http://schemas.microsoft.com/office/drawing/2014/main" id="{35FE6000-4B58-7246-902C-AA7A71BE0CAA}"/>
            </a:ext>
          </a:extLst>
        </xdr:cNvPr>
        <xdr:cNvSpPr/>
      </xdr:nvSpPr>
      <xdr:spPr>
        <a:xfrm>
          <a:off x="6194778" y="6505222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423333</xdr:colOff>
      <xdr:row>12</xdr:row>
      <xdr:rowOff>395111</xdr:rowOff>
    </xdr:from>
    <xdr:to>
      <xdr:col>12</xdr:col>
      <xdr:colOff>211666</xdr:colOff>
      <xdr:row>13</xdr:row>
      <xdr:rowOff>115059</xdr:rowOff>
    </xdr:to>
    <xdr:sp macro="" textlink="">
      <xdr:nvSpPr>
        <xdr:cNvPr id="28" name="Right Arrow 27">
          <a:extLst>
            <a:ext uri="{FF2B5EF4-FFF2-40B4-BE49-F238E27FC236}">
              <a16:creationId xmlns:a16="http://schemas.microsoft.com/office/drawing/2014/main" id="{A06895EF-D99D-5D4C-81B9-F28BFD3AE65B}"/>
            </a:ext>
          </a:extLst>
        </xdr:cNvPr>
        <xdr:cNvSpPr/>
      </xdr:nvSpPr>
      <xdr:spPr>
        <a:xfrm>
          <a:off x="7408333" y="6491111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395111</xdr:colOff>
      <xdr:row>12</xdr:row>
      <xdr:rowOff>395111</xdr:rowOff>
    </xdr:from>
    <xdr:to>
      <xdr:col>14</xdr:col>
      <xdr:colOff>183444</xdr:colOff>
      <xdr:row>13</xdr:row>
      <xdr:rowOff>115059</xdr:rowOff>
    </xdr:to>
    <xdr:sp macro="" textlink="">
      <xdr:nvSpPr>
        <xdr:cNvPr id="29" name="Right Arrow 28">
          <a:extLst>
            <a:ext uri="{FF2B5EF4-FFF2-40B4-BE49-F238E27FC236}">
              <a16:creationId xmlns:a16="http://schemas.microsoft.com/office/drawing/2014/main" id="{F2411606-90ED-4241-B815-EABE5A76C477}"/>
            </a:ext>
          </a:extLst>
        </xdr:cNvPr>
        <xdr:cNvSpPr/>
      </xdr:nvSpPr>
      <xdr:spPr>
        <a:xfrm>
          <a:off x="8650111" y="6491111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536222</xdr:colOff>
      <xdr:row>12</xdr:row>
      <xdr:rowOff>366889</xdr:rowOff>
    </xdr:from>
    <xdr:to>
      <xdr:col>15</xdr:col>
      <xdr:colOff>324555</xdr:colOff>
      <xdr:row>13</xdr:row>
      <xdr:rowOff>86837</xdr:rowOff>
    </xdr:to>
    <xdr:sp macro="" textlink="">
      <xdr:nvSpPr>
        <xdr:cNvPr id="30" name="Right Arrow 29">
          <a:extLst>
            <a:ext uri="{FF2B5EF4-FFF2-40B4-BE49-F238E27FC236}">
              <a16:creationId xmlns:a16="http://schemas.microsoft.com/office/drawing/2014/main" id="{D1C1BE66-90E2-5547-9A30-37C166A4A5F2}"/>
            </a:ext>
          </a:extLst>
        </xdr:cNvPr>
        <xdr:cNvSpPr/>
      </xdr:nvSpPr>
      <xdr:spPr>
        <a:xfrm>
          <a:off x="9426222" y="6462889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</xdr:colOff>
      <xdr:row>15</xdr:row>
      <xdr:rowOff>250825</xdr:rowOff>
    </xdr:from>
    <xdr:to>
      <xdr:col>13</xdr:col>
      <xdr:colOff>15875</xdr:colOff>
      <xdr:row>16</xdr:row>
      <xdr:rowOff>263525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CCD032B7-E1E4-1049-B099-D4FE68F5F0C0}"/>
            </a:ext>
          </a:extLst>
        </xdr:cNvPr>
        <xdr:cNvGrpSpPr/>
      </xdr:nvGrpSpPr>
      <xdr:grpSpPr>
        <a:xfrm>
          <a:off x="7635875" y="7870825"/>
          <a:ext cx="635000" cy="520700"/>
          <a:chOff x="9071066" y="14609355"/>
          <a:chExt cx="1330960" cy="1258388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5366A457-3884-D1E2-B774-0FB86F6FB2EC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63" name="Picture 62">
              <a:extLst>
                <a:ext uri="{FF2B5EF4-FFF2-40B4-BE49-F238E27FC236}">
                  <a16:creationId xmlns:a16="http://schemas.microsoft.com/office/drawing/2014/main" id="{A1FFE5F2-F5E9-AF44-FB76-790C462322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858F368B-B469-604C-A064-5E1FA7E2820D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96B26F3C-957A-20B5-1B20-B5A725B0867A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13</xdr:col>
      <xdr:colOff>12700</xdr:colOff>
      <xdr:row>13</xdr:row>
      <xdr:rowOff>495298</xdr:rowOff>
    </xdr:from>
    <xdr:to>
      <xdr:col>15</xdr:col>
      <xdr:colOff>0</xdr:colOff>
      <xdr:row>18</xdr:row>
      <xdr:rowOff>12700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D43D0B6A-5299-5145-AABC-4D26DB71181E}"/>
            </a:ext>
          </a:extLst>
        </xdr:cNvPr>
        <xdr:cNvGrpSpPr/>
      </xdr:nvGrpSpPr>
      <xdr:grpSpPr>
        <a:xfrm>
          <a:off x="8267700" y="7099298"/>
          <a:ext cx="1257300" cy="2057402"/>
          <a:chOff x="4236358" y="10468429"/>
          <a:chExt cx="2450052" cy="2467429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1D7F98E4-1311-2FE1-496F-A6019B36FE43}"/>
              </a:ext>
            </a:extLst>
          </xdr:cNvPr>
          <xdr:cNvGrpSpPr/>
        </xdr:nvGrpSpPr>
        <xdr:grpSpPr>
          <a:xfrm>
            <a:off x="4236358" y="10468429"/>
            <a:ext cx="2450052" cy="2467429"/>
            <a:chOff x="5969000" y="3564467"/>
            <a:chExt cx="3056466" cy="926643"/>
          </a:xfrm>
        </xdr:grpSpPr>
        <xdr:pic>
          <xdr:nvPicPr>
            <xdr:cNvPr id="68" name="Picture 67">
              <a:extLst>
                <a:ext uri="{FF2B5EF4-FFF2-40B4-BE49-F238E27FC236}">
                  <a16:creationId xmlns:a16="http://schemas.microsoft.com/office/drawing/2014/main" id="{7EA44268-FE53-4586-37BA-9E40F1BE54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21809"/>
            </a:xfrm>
            <a:prstGeom prst="rect">
              <a:avLst/>
            </a:prstGeom>
          </xdr:spPr>
        </xdr:pic>
        <xdr:sp macro="" textlink="">
          <xdr:nvSpPr>
            <xdr:cNvPr id="69" name="Rectangle 68">
              <a:extLst>
                <a:ext uri="{FF2B5EF4-FFF2-40B4-BE49-F238E27FC236}">
                  <a16:creationId xmlns:a16="http://schemas.microsoft.com/office/drawing/2014/main" id="{C36AE02F-5D9B-33B9-D376-929D0462BAD1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F870C621-E654-A70C-E04F-EFFF067617A1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7</xdr:col>
      <xdr:colOff>15875</xdr:colOff>
      <xdr:row>14</xdr:row>
      <xdr:rowOff>298451</xdr:rowOff>
    </xdr:from>
    <xdr:to>
      <xdr:col>8</xdr:col>
      <xdr:colOff>15875</xdr:colOff>
      <xdr:row>17</xdr:row>
      <xdr:rowOff>311151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2F659E59-4EE5-BB4C-BD4B-66492E19DF54}"/>
            </a:ext>
          </a:extLst>
        </xdr:cNvPr>
        <xdr:cNvGrpSpPr/>
      </xdr:nvGrpSpPr>
      <xdr:grpSpPr>
        <a:xfrm>
          <a:off x="4460875" y="7410451"/>
          <a:ext cx="635000" cy="1536700"/>
          <a:chOff x="3647441" y="19785639"/>
          <a:chExt cx="1168400" cy="1265881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A834AAC9-68D1-97E6-4D75-0A13F8B4DD59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73" name="Picture 72">
              <a:extLst>
                <a:ext uri="{FF2B5EF4-FFF2-40B4-BE49-F238E27FC236}">
                  <a16:creationId xmlns:a16="http://schemas.microsoft.com/office/drawing/2014/main" id="{9CAF983E-CAF5-9CE4-B4D9-343B97D719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6930927F-8FD1-5AC3-64A3-6AC5363ABD7E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278E2B25-8988-6D2B-057B-44FAA28D4536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8</xdr:col>
      <xdr:colOff>25399</xdr:colOff>
      <xdr:row>14</xdr:row>
      <xdr:rowOff>425451</xdr:rowOff>
    </xdr:from>
    <xdr:to>
      <xdr:col>10</xdr:col>
      <xdr:colOff>0</xdr:colOff>
      <xdr:row>17</xdr:row>
      <xdr:rowOff>222250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22011A47-78DD-0349-8A7C-69CAF9A760FA}"/>
            </a:ext>
          </a:extLst>
        </xdr:cNvPr>
        <xdr:cNvGrpSpPr/>
      </xdr:nvGrpSpPr>
      <xdr:grpSpPr>
        <a:xfrm>
          <a:off x="5105399" y="7537451"/>
          <a:ext cx="1244601" cy="1320799"/>
          <a:chOff x="7403600" y="19633475"/>
          <a:chExt cx="1431609" cy="2135415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FD89955A-EB91-981B-9D0A-8FE02263B46D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78" name="Picture 77">
              <a:extLst>
                <a:ext uri="{FF2B5EF4-FFF2-40B4-BE49-F238E27FC236}">
                  <a16:creationId xmlns:a16="http://schemas.microsoft.com/office/drawing/2014/main" id="{811B438D-97A7-3F5A-71A5-E53D182A1F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79" name="Rectangle 78">
              <a:extLst>
                <a:ext uri="{FF2B5EF4-FFF2-40B4-BE49-F238E27FC236}">
                  <a16:creationId xmlns:a16="http://schemas.microsoft.com/office/drawing/2014/main" id="{785C14C2-4BC8-6E43-7DD3-BBB97EB2FD58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02873AA3-BBF4-49E7-4F27-81ED3D7DBF57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10</xdr:col>
      <xdr:colOff>12700</xdr:colOff>
      <xdr:row>14</xdr:row>
      <xdr:rowOff>111125</xdr:rowOff>
    </xdr:from>
    <xdr:to>
      <xdr:col>12</xdr:col>
      <xdr:colOff>0</xdr:colOff>
      <xdr:row>17</xdr:row>
      <xdr:rowOff>428625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7E3C2C9A-C847-3D4C-8972-CDEC472CF0A8}"/>
            </a:ext>
          </a:extLst>
        </xdr:cNvPr>
        <xdr:cNvGrpSpPr/>
      </xdr:nvGrpSpPr>
      <xdr:grpSpPr>
        <a:xfrm>
          <a:off x="6362700" y="7223125"/>
          <a:ext cx="1257300" cy="1841500"/>
          <a:chOff x="3655786" y="1115787"/>
          <a:chExt cx="1914071" cy="2485569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1623D343-A4C1-E569-1CAB-D416A571D560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83" name="Picture 82">
              <a:extLst>
                <a:ext uri="{FF2B5EF4-FFF2-40B4-BE49-F238E27FC236}">
                  <a16:creationId xmlns:a16="http://schemas.microsoft.com/office/drawing/2014/main" id="{78981031-A0D0-8E17-E3C8-6472F34E4D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F8E01728-7579-6AA0-F465-8F340B987420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5EA4C4C9-A714-19BA-AFE6-022A2D0F71E7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7</xdr:col>
      <xdr:colOff>479778</xdr:colOff>
      <xdr:row>15</xdr:row>
      <xdr:rowOff>409222</xdr:rowOff>
    </xdr:from>
    <xdr:to>
      <xdr:col>8</xdr:col>
      <xdr:colOff>268111</xdr:colOff>
      <xdr:row>16</xdr:row>
      <xdr:rowOff>129170</xdr:rowOff>
    </xdr:to>
    <xdr:sp macro="" textlink="">
      <xdr:nvSpPr>
        <xdr:cNvPr id="85" name="Right Arrow 84">
          <a:extLst>
            <a:ext uri="{FF2B5EF4-FFF2-40B4-BE49-F238E27FC236}">
              <a16:creationId xmlns:a16="http://schemas.microsoft.com/office/drawing/2014/main" id="{0F6FC843-4488-9C4F-9CEF-DD4128E21BC6}"/>
            </a:ext>
          </a:extLst>
        </xdr:cNvPr>
        <xdr:cNvSpPr/>
      </xdr:nvSpPr>
      <xdr:spPr>
        <a:xfrm>
          <a:off x="6194778" y="6505222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423333</xdr:colOff>
      <xdr:row>15</xdr:row>
      <xdr:rowOff>395111</xdr:rowOff>
    </xdr:from>
    <xdr:to>
      <xdr:col>10</xdr:col>
      <xdr:colOff>211666</xdr:colOff>
      <xdr:row>16</xdr:row>
      <xdr:rowOff>115059</xdr:rowOff>
    </xdr:to>
    <xdr:sp macro="" textlink="">
      <xdr:nvSpPr>
        <xdr:cNvPr id="86" name="Right Arrow 85">
          <a:extLst>
            <a:ext uri="{FF2B5EF4-FFF2-40B4-BE49-F238E27FC236}">
              <a16:creationId xmlns:a16="http://schemas.microsoft.com/office/drawing/2014/main" id="{5D2D3F79-7D69-3E4A-967A-D8B8669540DE}"/>
            </a:ext>
          </a:extLst>
        </xdr:cNvPr>
        <xdr:cNvSpPr/>
      </xdr:nvSpPr>
      <xdr:spPr>
        <a:xfrm>
          <a:off x="7408333" y="6491111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395111</xdr:colOff>
      <xdr:row>15</xdr:row>
      <xdr:rowOff>395111</xdr:rowOff>
    </xdr:from>
    <xdr:to>
      <xdr:col>12</xdr:col>
      <xdr:colOff>183444</xdr:colOff>
      <xdr:row>16</xdr:row>
      <xdr:rowOff>115059</xdr:rowOff>
    </xdr:to>
    <xdr:sp macro="" textlink="">
      <xdr:nvSpPr>
        <xdr:cNvPr id="87" name="Right Arrow 86">
          <a:extLst>
            <a:ext uri="{FF2B5EF4-FFF2-40B4-BE49-F238E27FC236}">
              <a16:creationId xmlns:a16="http://schemas.microsoft.com/office/drawing/2014/main" id="{438FDE53-7BF1-8748-A393-287874D4B5E2}"/>
            </a:ext>
          </a:extLst>
        </xdr:cNvPr>
        <xdr:cNvSpPr/>
      </xdr:nvSpPr>
      <xdr:spPr>
        <a:xfrm>
          <a:off x="8650111" y="6491111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536222</xdr:colOff>
      <xdr:row>15</xdr:row>
      <xdr:rowOff>366889</xdr:rowOff>
    </xdr:from>
    <xdr:to>
      <xdr:col>13</xdr:col>
      <xdr:colOff>324555</xdr:colOff>
      <xdr:row>16</xdr:row>
      <xdr:rowOff>86837</xdr:rowOff>
    </xdr:to>
    <xdr:sp macro="" textlink="">
      <xdr:nvSpPr>
        <xdr:cNvPr id="88" name="Right Arrow 87">
          <a:extLst>
            <a:ext uri="{FF2B5EF4-FFF2-40B4-BE49-F238E27FC236}">
              <a16:creationId xmlns:a16="http://schemas.microsoft.com/office/drawing/2014/main" id="{2CF3CEFB-6EE1-5D45-9931-D4DF853CBC3F}"/>
            </a:ext>
          </a:extLst>
        </xdr:cNvPr>
        <xdr:cNvSpPr/>
      </xdr:nvSpPr>
      <xdr:spPr>
        <a:xfrm>
          <a:off x="9426222" y="6462889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BAF0-78F0-6F4B-BA14-C26D135F90AF}">
  <dimension ref="C1:AB16"/>
  <sheetViews>
    <sheetView showGridLines="0" zoomScale="110" zoomScaleNormal="110" workbookViewId="0">
      <selection activeCell="D4" sqref="D4:P16"/>
    </sheetView>
  </sheetViews>
  <sheetFormatPr baseColWidth="10" defaultColWidth="6" defaultRowHeight="25" customHeight="1" x14ac:dyDescent="0.2"/>
  <cols>
    <col min="20" max="21" width="6" style="6"/>
    <col min="22" max="22" width="19" style="6" bestFit="1" customWidth="1"/>
    <col min="23" max="23" width="9" style="6" bestFit="1" customWidth="1"/>
    <col min="24" max="24" width="7.5" style="6" bestFit="1" customWidth="1"/>
    <col min="25" max="25" width="12.1640625" style="6" bestFit="1" customWidth="1"/>
    <col min="26" max="28" width="6" style="6"/>
  </cols>
  <sheetData>
    <row r="1" spans="3:28" ht="27" customHeight="1" x14ac:dyDescent="0.2"/>
    <row r="3" spans="3:28" ht="25" customHeight="1" x14ac:dyDescent="0.2">
      <c r="C3" s="1"/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</row>
    <row r="4" spans="3:28" ht="25" customHeight="1" x14ac:dyDescent="0.2">
      <c r="C4" s="1" t="s">
        <v>0</v>
      </c>
      <c r="D4" s="33"/>
      <c r="E4" s="34">
        <v>9230.7692307692305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T4" s="7"/>
      <c r="U4" s="8"/>
      <c r="V4" s="8"/>
      <c r="W4" s="9" t="s">
        <v>13</v>
      </c>
      <c r="X4" s="8">
        <f>SUM(D4:P16)</f>
        <v>36923.076923076922</v>
      </c>
      <c r="Y4" s="8"/>
      <c r="Z4" s="8"/>
      <c r="AA4" s="8"/>
      <c r="AB4" s="8"/>
    </row>
    <row r="5" spans="3:28" ht="25" customHeight="1" x14ac:dyDescent="0.2">
      <c r="C5" s="1" t="s">
        <v>1</v>
      </c>
      <c r="D5" s="33"/>
      <c r="E5" s="33"/>
      <c r="F5" s="33"/>
      <c r="G5" s="34">
        <v>9230.7692307692305</v>
      </c>
      <c r="H5" s="33"/>
      <c r="I5" s="33"/>
      <c r="J5" s="33"/>
      <c r="K5" s="33"/>
      <c r="L5" s="33"/>
      <c r="M5" s="33"/>
      <c r="N5" s="33"/>
      <c r="O5" s="33"/>
      <c r="P5" s="33"/>
      <c r="T5" s="8"/>
      <c r="U5" s="8"/>
      <c r="V5" s="8"/>
      <c r="W5" s="8"/>
      <c r="X5" s="8"/>
      <c r="Y5" s="9" t="s">
        <v>14</v>
      </c>
      <c r="Z5" s="9" t="s">
        <v>15</v>
      </c>
      <c r="AA5" s="8"/>
      <c r="AB5" s="8"/>
    </row>
    <row r="6" spans="3:28" ht="25" customHeight="1" x14ac:dyDescent="0.2">
      <c r="C6" s="1" t="s">
        <v>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T6" s="10" t="s">
        <v>41</v>
      </c>
      <c r="U6" s="10"/>
      <c r="V6" s="10" t="s">
        <v>16</v>
      </c>
      <c r="W6" s="10"/>
      <c r="X6" s="10">
        <f>E4</f>
        <v>9230.7692307692305</v>
      </c>
      <c r="Y6" s="11">
        <f>X6/$X$4</f>
        <v>0.25</v>
      </c>
      <c r="Z6" s="12">
        <f>Y6</f>
        <v>0.25</v>
      </c>
      <c r="AA6" s="41"/>
      <c r="AB6" s="42"/>
    </row>
    <row r="7" spans="3:28" ht="25" customHeight="1" x14ac:dyDescent="0.2">
      <c r="C7" s="1" t="s">
        <v>3</v>
      </c>
      <c r="D7" s="33"/>
      <c r="E7" s="33"/>
      <c r="F7" s="33"/>
      <c r="G7" s="33"/>
      <c r="H7" s="33"/>
      <c r="I7" s="33"/>
      <c r="J7" s="34">
        <v>9230.7692307692305</v>
      </c>
      <c r="K7" s="33"/>
      <c r="L7" s="33"/>
      <c r="M7" s="33"/>
      <c r="N7" s="33"/>
      <c r="O7" s="33"/>
      <c r="P7" s="33"/>
      <c r="T7" s="10" t="s">
        <v>39</v>
      </c>
      <c r="U7" s="10"/>
      <c r="V7" s="10" t="s">
        <v>16</v>
      </c>
      <c r="W7" s="10"/>
      <c r="X7" s="10">
        <f>G5</f>
        <v>9230.7692307692305</v>
      </c>
      <c r="Y7" s="11">
        <f t="shared" ref="Y7:Y9" si="0">X7/$X$4</f>
        <v>0.25</v>
      </c>
      <c r="Z7" s="11">
        <f>Y7+Z6</f>
        <v>0.5</v>
      </c>
      <c r="AA7" s="4"/>
      <c r="AB7" s="5"/>
    </row>
    <row r="8" spans="3:28" ht="25" customHeight="1" x14ac:dyDescent="0.2">
      <c r="C8" s="1" t="s">
        <v>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T8" s="10" t="s">
        <v>42</v>
      </c>
      <c r="U8" s="10"/>
      <c r="V8" s="10" t="s">
        <v>16</v>
      </c>
      <c r="W8" s="10"/>
      <c r="X8" s="10">
        <f>J7</f>
        <v>9230.7692307692305</v>
      </c>
      <c r="Y8" s="11">
        <f t="shared" si="0"/>
        <v>0.25</v>
      </c>
      <c r="Z8" s="11">
        <f>Y8+Z7</f>
        <v>0.75</v>
      </c>
      <c r="AA8" s="4"/>
      <c r="AB8" s="5"/>
    </row>
    <row r="9" spans="3:28" ht="25" customHeight="1" x14ac:dyDescent="0.2">
      <c r="C9" s="1" t="s">
        <v>5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T9" s="10" t="s">
        <v>43</v>
      </c>
      <c r="U9" s="10"/>
      <c r="V9" s="10" t="s">
        <v>16</v>
      </c>
      <c r="W9" s="10"/>
      <c r="X9" s="10">
        <f>K10</f>
        <v>9230.7692307692305</v>
      </c>
      <c r="Y9" s="11">
        <f t="shared" si="0"/>
        <v>0.25</v>
      </c>
      <c r="Z9" s="11">
        <f>Y9+Z8</f>
        <v>1</v>
      </c>
      <c r="AA9" s="43"/>
      <c r="AB9" s="44"/>
    </row>
    <row r="10" spans="3:28" ht="25" customHeight="1" x14ac:dyDescent="0.2">
      <c r="C10" s="1" t="s">
        <v>6</v>
      </c>
      <c r="D10" s="33"/>
      <c r="E10" s="33"/>
      <c r="F10" s="33"/>
      <c r="G10" s="33"/>
      <c r="H10" s="33"/>
      <c r="I10" s="33"/>
      <c r="J10" s="33"/>
      <c r="K10" s="34">
        <v>9230.7692307692305</v>
      </c>
      <c r="L10" s="33"/>
      <c r="M10" s="33"/>
      <c r="N10" s="33"/>
      <c r="O10" s="33"/>
      <c r="P10" s="33"/>
      <c r="T10"/>
      <c r="U10"/>
      <c r="V10"/>
      <c r="W10"/>
      <c r="X10"/>
      <c r="Y10"/>
      <c r="Z10"/>
      <c r="AA10"/>
      <c r="AB10"/>
    </row>
    <row r="11" spans="3:28" ht="25" customHeight="1" x14ac:dyDescent="0.2">
      <c r="C11" s="1" t="s">
        <v>7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T11"/>
      <c r="U11"/>
      <c r="V11"/>
      <c r="W11"/>
      <c r="X11"/>
      <c r="Y11"/>
      <c r="Z11"/>
      <c r="AA11"/>
      <c r="AB11"/>
    </row>
    <row r="12" spans="3:28" ht="25" customHeight="1" x14ac:dyDescent="0.2">
      <c r="C12" s="1" t="s">
        <v>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3:28" ht="25" customHeight="1" x14ac:dyDescent="0.2">
      <c r="C13" s="1" t="s">
        <v>9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3:28" ht="25" customHeight="1" x14ac:dyDescent="0.2">
      <c r="C14" s="1" t="s">
        <v>10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3:28" ht="25" customHeight="1" x14ac:dyDescent="0.2">
      <c r="C15" s="1" t="s">
        <v>11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</row>
    <row r="16" spans="3:28" ht="25" customHeight="1" x14ac:dyDescent="0.2">
      <c r="C16" s="1" t="s">
        <v>12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0013-D7CD-BA40-B1E7-F0FA2D18A6E1}">
  <dimension ref="B8:K16"/>
  <sheetViews>
    <sheetView showGridLines="0" workbookViewId="0">
      <selection activeCell="B12" sqref="B12:B16"/>
    </sheetView>
  </sheetViews>
  <sheetFormatPr baseColWidth="10" defaultRowHeight="16" x14ac:dyDescent="0.2"/>
  <cols>
    <col min="10" max="10" width="14" bestFit="1" customWidth="1"/>
  </cols>
  <sheetData>
    <row r="8" spans="2:11" x14ac:dyDescent="0.2">
      <c r="B8" s="2" t="s">
        <v>25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 t="s">
        <v>26</v>
      </c>
    </row>
    <row r="9" spans="2:11" x14ac:dyDescent="0.2">
      <c r="B9" s="2" t="s">
        <v>40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/>
      <c r="I9" s="2"/>
      <c r="J9" s="2">
        <v>19</v>
      </c>
    </row>
    <row r="11" spans="2:11" ht="56" x14ac:dyDescent="0.2">
      <c r="B11" s="13" t="s">
        <v>17</v>
      </c>
      <c r="C11" s="13" t="s">
        <v>18</v>
      </c>
      <c r="D11" s="13" t="s">
        <v>19</v>
      </c>
      <c r="E11" s="13" t="s">
        <v>45</v>
      </c>
      <c r="F11" s="14" t="s">
        <v>20</v>
      </c>
      <c r="G11" s="14" t="s">
        <v>21</v>
      </c>
      <c r="H11" s="13" t="s">
        <v>22</v>
      </c>
      <c r="I11" s="13" t="s">
        <v>23</v>
      </c>
      <c r="J11" s="13" t="s">
        <v>52</v>
      </c>
      <c r="K11" s="13" t="s">
        <v>53</v>
      </c>
    </row>
    <row r="12" spans="2:11" x14ac:dyDescent="0.2">
      <c r="B12" s="13" t="s">
        <v>0</v>
      </c>
      <c r="C12" s="15">
        <v>3</v>
      </c>
      <c r="D12" s="15">
        <v>0.97699999999999998</v>
      </c>
      <c r="E12" s="15" t="s">
        <v>24</v>
      </c>
      <c r="F12" s="16">
        <f>14*14</f>
        <v>196</v>
      </c>
      <c r="G12" s="35">
        <f t="shared" ref="G12:G16" si="0">F12*C12</f>
        <v>588</v>
      </c>
      <c r="H12" s="17">
        <f>G12/I12</f>
        <v>42</v>
      </c>
      <c r="I12" s="17">
        <v>14</v>
      </c>
      <c r="J12" s="52">
        <f>H12/14</f>
        <v>3</v>
      </c>
      <c r="K12" s="52">
        <f>I12/14</f>
        <v>1</v>
      </c>
    </row>
    <row r="13" spans="2:11" x14ac:dyDescent="0.2">
      <c r="B13" s="13" t="s">
        <v>1</v>
      </c>
      <c r="C13" s="15">
        <v>5</v>
      </c>
      <c r="D13" s="15">
        <v>0.9728</v>
      </c>
      <c r="E13" s="15" t="s">
        <v>24</v>
      </c>
      <c r="F13" s="16">
        <f t="shared" ref="F13:F14" si="1">14*14</f>
        <v>196</v>
      </c>
      <c r="G13" s="35">
        <f t="shared" si="0"/>
        <v>980</v>
      </c>
      <c r="H13" s="17">
        <f t="shared" ref="H13:H16" si="2">G13/I13</f>
        <v>35</v>
      </c>
      <c r="I13" s="17">
        <v>28</v>
      </c>
      <c r="J13" s="52">
        <f>H13/14</f>
        <v>2.5</v>
      </c>
      <c r="K13" s="52">
        <f t="shared" ref="J13:K16" si="3">I13/14</f>
        <v>2</v>
      </c>
    </row>
    <row r="14" spans="2:11" x14ac:dyDescent="0.2">
      <c r="B14" s="13" t="s">
        <v>3</v>
      </c>
      <c r="C14" s="15">
        <v>7</v>
      </c>
      <c r="D14" s="15">
        <v>0.95960000000000001</v>
      </c>
      <c r="E14" s="15" t="s">
        <v>24</v>
      </c>
      <c r="F14" s="16">
        <f t="shared" si="1"/>
        <v>196</v>
      </c>
      <c r="G14" s="32">
        <f t="shared" si="0"/>
        <v>1372</v>
      </c>
      <c r="H14" s="17">
        <f t="shared" si="2"/>
        <v>49</v>
      </c>
      <c r="I14" s="17">
        <v>28</v>
      </c>
      <c r="J14" s="52">
        <f>H14/14</f>
        <v>3.5</v>
      </c>
      <c r="K14" s="52">
        <f t="shared" si="3"/>
        <v>2</v>
      </c>
    </row>
    <row r="15" spans="2:11" x14ac:dyDescent="0.2">
      <c r="B15" s="13" t="s">
        <v>6</v>
      </c>
      <c r="C15" s="15">
        <v>1</v>
      </c>
      <c r="D15" s="15">
        <v>0.98070000000000002</v>
      </c>
      <c r="E15" s="15" t="s">
        <v>44</v>
      </c>
      <c r="F15" s="16">
        <f>22*15</f>
        <v>330</v>
      </c>
      <c r="G15" s="35">
        <f t="shared" si="0"/>
        <v>330</v>
      </c>
      <c r="H15" s="17">
        <f t="shared" si="2"/>
        <v>23.571428571428573</v>
      </c>
      <c r="I15" s="17">
        <v>14</v>
      </c>
      <c r="J15" s="52">
        <f>H15/14</f>
        <v>1.6836734693877553</v>
      </c>
      <c r="K15" s="52">
        <f t="shared" si="3"/>
        <v>1</v>
      </c>
    </row>
    <row r="16" spans="2:11" x14ac:dyDescent="0.2">
      <c r="B16" s="13" t="s">
        <v>7</v>
      </c>
      <c r="C16" s="15">
        <v>3</v>
      </c>
      <c r="D16" s="15">
        <v>0.94820000000000004</v>
      </c>
      <c r="E16" s="15" t="s">
        <v>44</v>
      </c>
      <c r="F16" s="16">
        <f>14*36</f>
        <v>504</v>
      </c>
      <c r="G16" s="32">
        <f t="shared" si="0"/>
        <v>1512</v>
      </c>
      <c r="H16" s="17">
        <f t="shared" si="2"/>
        <v>54</v>
      </c>
      <c r="I16" s="17">
        <v>28</v>
      </c>
      <c r="J16" s="52">
        <f>H16/14</f>
        <v>3.8571428571428572</v>
      </c>
      <c r="K16" s="52">
        <f t="shared" si="3"/>
        <v>2</v>
      </c>
    </row>
  </sheetData>
  <conditionalFormatting sqref="G12:G16">
    <cfRule type="colorScale" priority="12">
      <colorScale>
        <cfvo type="min"/>
        <cfvo type="percentile" val="50"/>
        <cfvo type="max"/>
        <color rgb="FFFF0000"/>
        <color rgb="FFFFFF00"/>
        <color theme="6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E834-EB31-CB4D-ACDF-AD9FE171AD54}">
  <dimension ref="E1:V22"/>
  <sheetViews>
    <sheetView showGridLines="0" topLeftCell="A2" zoomScaleNormal="100" workbookViewId="0">
      <selection activeCell="F10" sqref="F10:S15"/>
    </sheetView>
  </sheetViews>
  <sheetFormatPr baseColWidth="10" defaultColWidth="8.33203125" defaultRowHeight="40" customHeight="1" x14ac:dyDescent="0.2"/>
  <sheetData>
    <row r="1" spans="5:22" ht="40" customHeight="1" x14ac:dyDescent="0.2">
      <c r="S1" s="7" t="s">
        <v>29</v>
      </c>
      <c r="T1" s="7" t="s">
        <v>27</v>
      </c>
    </row>
    <row r="3" spans="5:22" ht="40" customHeight="1" x14ac:dyDescent="0.2">
      <c r="E3" s="6"/>
      <c r="F3" s="6"/>
      <c r="G3" s="6"/>
      <c r="H3" s="6"/>
      <c r="I3" s="7" t="s">
        <v>29</v>
      </c>
      <c r="J3" s="7" t="s">
        <v>27</v>
      </c>
      <c r="K3" s="6"/>
      <c r="L3" s="6"/>
      <c r="M3" s="6"/>
      <c r="N3" s="6"/>
      <c r="P3" s="6"/>
      <c r="Q3" s="6"/>
    </row>
    <row r="4" spans="5:22" ht="40" customHeight="1" x14ac:dyDescent="0.2">
      <c r="E4" s="6"/>
      <c r="F4" s="6"/>
      <c r="G4" s="6"/>
      <c r="H4" s="6"/>
      <c r="I4" s="6"/>
      <c r="J4" s="6"/>
      <c r="K4" s="6"/>
      <c r="L4" s="6"/>
      <c r="M4" s="6"/>
      <c r="N4" s="6"/>
      <c r="O4" s="6"/>
      <c r="Q4" s="6"/>
      <c r="R4" s="6"/>
    </row>
    <row r="5" spans="5:22" ht="40" customHeight="1" x14ac:dyDescent="0.2">
      <c r="E5" s="6"/>
      <c r="F5" s="6"/>
      <c r="G5" s="6"/>
      <c r="H5" s="6"/>
      <c r="I5" s="6"/>
      <c r="J5" s="6"/>
      <c r="K5" s="6"/>
      <c r="L5" s="6"/>
      <c r="M5" s="6"/>
      <c r="N5" s="6"/>
      <c r="O5" s="6"/>
      <c r="Q5" s="6"/>
      <c r="R5" s="6"/>
    </row>
    <row r="6" spans="5:22" ht="40" customHeight="1" x14ac:dyDescent="0.2"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R6" s="6"/>
    </row>
    <row r="7" spans="5:22" ht="40" customHeight="1" x14ac:dyDescent="0.2"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5:22" ht="40" customHeight="1" x14ac:dyDescent="0.2"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5:22" ht="40" customHeight="1" x14ac:dyDescent="0.2">
      <c r="E9" s="6"/>
      <c r="F9" s="6"/>
      <c r="G9" s="6"/>
      <c r="H9" s="6"/>
      <c r="K9" s="6"/>
      <c r="L9" s="6"/>
      <c r="M9" s="6"/>
      <c r="N9" s="6"/>
      <c r="O9" s="6"/>
      <c r="P9" s="6"/>
      <c r="Q9" s="6"/>
      <c r="R9" s="6"/>
    </row>
    <row r="10" spans="5:22" ht="40" customHeight="1" x14ac:dyDescent="0.2">
      <c r="E10" s="6"/>
      <c r="F10" s="6"/>
      <c r="G10" s="55">
        <v>1</v>
      </c>
      <c r="H10" s="54"/>
      <c r="I10" s="55">
        <v>1</v>
      </c>
      <c r="J10" s="55">
        <v>2</v>
      </c>
      <c r="K10" s="54"/>
      <c r="L10" s="55">
        <v>1</v>
      </c>
      <c r="M10" s="55">
        <v>2</v>
      </c>
      <c r="N10" s="54"/>
      <c r="O10" s="54"/>
      <c r="P10" s="54"/>
      <c r="Q10" s="55">
        <v>1</v>
      </c>
      <c r="R10" s="55">
        <v>2</v>
      </c>
      <c r="S10" s="55"/>
    </row>
    <row r="11" spans="5:22" ht="40" customHeight="1" x14ac:dyDescent="0.2">
      <c r="E11" s="6"/>
      <c r="F11" s="55">
        <v>1</v>
      </c>
      <c r="G11" s="6"/>
      <c r="H11" s="55">
        <v>1</v>
      </c>
      <c r="I11" s="6"/>
      <c r="J11" s="6"/>
      <c r="K11" s="55">
        <v>1</v>
      </c>
      <c r="L11" s="6"/>
      <c r="M11" s="6"/>
      <c r="N11" s="55"/>
      <c r="O11" s="55">
        <v>1</v>
      </c>
      <c r="P11" s="55">
        <v>1</v>
      </c>
      <c r="Q11" s="6"/>
      <c r="R11" s="6"/>
    </row>
    <row r="12" spans="5:22" ht="40" customHeight="1" x14ac:dyDescent="0.2">
      <c r="E12" s="6"/>
      <c r="F12" s="55">
        <v>2</v>
      </c>
      <c r="G12" s="6"/>
      <c r="H12" s="55">
        <v>2</v>
      </c>
      <c r="I12" s="6"/>
      <c r="J12" s="6"/>
      <c r="K12" s="55">
        <v>2</v>
      </c>
      <c r="L12" s="6"/>
      <c r="M12" s="6"/>
      <c r="N12" s="55">
        <v>1</v>
      </c>
      <c r="O12" s="6"/>
      <c r="P12" s="55">
        <v>2</v>
      </c>
      <c r="Q12" s="6"/>
      <c r="R12" s="6"/>
      <c r="V12" s="6"/>
    </row>
    <row r="13" spans="5:22" ht="40" customHeight="1" x14ac:dyDescent="0.2">
      <c r="E13" s="6"/>
      <c r="F13" s="55">
        <v>3</v>
      </c>
      <c r="G13" s="6"/>
      <c r="H13" s="55">
        <v>3</v>
      </c>
      <c r="I13" s="6"/>
      <c r="J13" s="6"/>
      <c r="K13" s="55">
        <v>3</v>
      </c>
      <c r="L13" s="6"/>
      <c r="M13" s="6"/>
      <c r="N13" s="6"/>
      <c r="O13" s="6"/>
      <c r="P13" s="55">
        <v>3</v>
      </c>
      <c r="Q13" s="6"/>
      <c r="R13" s="6"/>
    </row>
    <row r="14" spans="5:22" ht="40" customHeight="1" x14ac:dyDescent="0.2">
      <c r="E14" s="6"/>
      <c r="F14" s="6"/>
      <c r="G14" s="6"/>
      <c r="H14" s="6"/>
      <c r="I14" s="6"/>
      <c r="J14" s="6"/>
      <c r="K14" s="55">
        <v>4</v>
      </c>
      <c r="L14" s="6"/>
      <c r="M14" s="6"/>
      <c r="N14" s="6"/>
      <c r="O14" s="6"/>
      <c r="P14" s="55">
        <v>4</v>
      </c>
      <c r="Q14" s="6"/>
      <c r="R14" s="6"/>
    </row>
    <row r="15" spans="5:22" ht="40" customHeight="1" x14ac:dyDescent="0.2"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5:22" ht="40" customHeight="1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5:18" ht="40" customHeight="1" x14ac:dyDescent="0.2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5:18" ht="40" customHeight="1" x14ac:dyDescent="0.2"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5:18" ht="40" customHeight="1" x14ac:dyDescent="0.2"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5:18" ht="40" customHeight="1" x14ac:dyDescent="0.2"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5:18" ht="40" customHeight="1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5:18" ht="40" customHeight="1" x14ac:dyDescent="0.2"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9E5D-A5C4-844A-8D16-BBDC60EA7EDD}">
  <dimension ref="F4:W37"/>
  <sheetViews>
    <sheetView showGridLines="0" topLeftCell="B1" zoomScale="80" zoomScaleNormal="80" workbookViewId="0">
      <selection activeCell="I12" sqref="I9:R13"/>
    </sheetView>
  </sheetViews>
  <sheetFormatPr baseColWidth="10" defaultColWidth="8.33203125" defaultRowHeight="40" customHeight="1" x14ac:dyDescent="0.2"/>
  <cols>
    <col min="3" max="3" width="8.33203125" customWidth="1"/>
  </cols>
  <sheetData>
    <row r="4" spans="6:23" ht="40" customHeight="1" x14ac:dyDescent="0.2">
      <c r="I4" s="6"/>
      <c r="J4" s="6"/>
      <c r="K4" s="6"/>
      <c r="M4" s="6"/>
      <c r="N4" s="6"/>
      <c r="O4" s="6"/>
      <c r="P4" s="6"/>
    </row>
    <row r="5" spans="6:23" ht="40" customHeight="1" x14ac:dyDescent="0.2">
      <c r="I5" s="6"/>
      <c r="J5" s="6"/>
      <c r="K5" s="6"/>
      <c r="L5" s="6"/>
      <c r="M5" s="6"/>
      <c r="N5" s="6"/>
      <c r="O5" s="6"/>
      <c r="P5" s="6"/>
    </row>
    <row r="6" spans="6:23" ht="40" customHeight="1" x14ac:dyDescent="0.2">
      <c r="F6" s="18"/>
      <c r="L6" s="7" t="s">
        <v>29</v>
      </c>
      <c r="M6" s="7" t="s">
        <v>27</v>
      </c>
      <c r="N6" s="6"/>
      <c r="O6" s="6"/>
      <c r="P6" s="6"/>
    </row>
    <row r="7" spans="6:23" ht="40" customHeight="1" x14ac:dyDescent="0.2">
      <c r="F7" s="19"/>
      <c r="J7" s="6"/>
      <c r="K7" s="6"/>
      <c r="L7" s="6"/>
      <c r="M7" s="6"/>
      <c r="N7" s="6"/>
      <c r="O7" s="6"/>
      <c r="P7" s="6"/>
    </row>
    <row r="8" spans="6:23" ht="40" customHeight="1" x14ac:dyDescent="0.2">
      <c r="F8" s="19"/>
      <c r="I8" s="6"/>
      <c r="J8" s="6"/>
      <c r="K8" s="6"/>
      <c r="L8" s="6"/>
      <c r="M8" s="6"/>
      <c r="N8" s="6"/>
      <c r="O8" s="6"/>
      <c r="P8" s="6"/>
    </row>
    <row r="9" spans="6:23" ht="40" customHeight="1" x14ac:dyDescent="0.2">
      <c r="F9" s="19"/>
      <c r="J9" s="6"/>
      <c r="K9" s="55">
        <v>1</v>
      </c>
      <c r="L9" s="55">
        <v>2</v>
      </c>
      <c r="M9" s="55">
        <v>3</v>
      </c>
      <c r="N9" s="55">
        <v>4</v>
      </c>
      <c r="O9" s="55">
        <v>5</v>
      </c>
      <c r="P9" s="54">
        <v>6</v>
      </c>
      <c r="Q9" s="55">
        <v>7</v>
      </c>
      <c r="R9" s="55">
        <v>8</v>
      </c>
      <c r="S9" s="55"/>
    </row>
    <row r="10" spans="6:23" ht="40" customHeight="1" x14ac:dyDescent="0.2">
      <c r="F10" s="19"/>
      <c r="J10" s="54">
        <v>1</v>
      </c>
      <c r="K10" s="6"/>
      <c r="L10" s="6"/>
      <c r="M10" s="6"/>
      <c r="N10" s="6"/>
      <c r="O10" s="6"/>
      <c r="P10" s="55"/>
      <c r="Q10" s="6"/>
      <c r="R10" s="6"/>
    </row>
    <row r="11" spans="6:23" ht="40" customHeight="1" x14ac:dyDescent="0.2">
      <c r="F11" s="19"/>
      <c r="J11" s="54">
        <v>2</v>
      </c>
      <c r="K11" s="6"/>
      <c r="L11" s="6"/>
      <c r="M11" s="6"/>
      <c r="N11" s="6"/>
      <c r="O11" s="6"/>
      <c r="P11" s="6"/>
      <c r="Q11" s="6"/>
      <c r="R11" s="6"/>
    </row>
    <row r="12" spans="6:23" ht="40" customHeight="1" x14ac:dyDescent="0.2">
      <c r="F12" s="19"/>
      <c r="J12" s="54">
        <v>3</v>
      </c>
      <c r="K12" s="6"/>
      <c r="L12" s="6"/>
      <c r="M12" s="6"/>
      <c r="N12" s="6"/>
      <c r="O12" s="6"/>
      <c r="P12" s="6"/>
      <c r="Q12" s="6"/>
      <c r="R12" s="6"/>
    </row>
    <row r="13" spans="6:23" ht="40" customHeight="1" x14ac:dyDescent="0.2">
      <c r="F13" s="19"/>
      <c r="J13" s="53">
        <v>4</v>
      </c>
      <c r="K13" s="6"/>
      <c r="L13" s="6"/>
      <c r="M13" s="6"/>
      <c r="N13" s="6"/>
      <c r="O13" s="6"/>
      <c r="P13" s="6"/>
      <c r="Q13" s="6"/>
      <c r="R13" s="6"/>
    </row>
    <row r="14" spans="6:23" ht="40" customHeight="1" x14ac:dyDescent="0.2">
      <c r="F14" s="19"/>
      <c r="J14" s="6"/>
      <c r="K14" s="6"/>
      <c r="L14" s="6"/>
      <c r="M14" s="6"/>
      <c r="N14" s="6"/>
      <c r="O14" s="6"/>
      <c r="P14" s="6"/>
      <c r="Q14" s="6"/>
      <c r="R14" s="6"/>
    </row>
    <row r="15" spans="6:23" ht="40" customHeight="1" x14ac:dyDescent="0.2">
      <c r="F15" s="19"/>
      <c r="J15" s="6"/>
      <c r="K15" s="6"/>
      <c r="L15" s="6"/>
      <c r="M15" s="6"/>
      <c r="N15" s="6"/>
      <c r="O15" s="6"/>
      <c r="P15" s="6"/>
    </row>
    <row r="16" spans="6:23" ht="40" customHeight="1" x14ac:dyDescent="0.2">
      <c r="F16" s="19"/>
      <c r="J16" s="6"/>
      <c r="K16" s="6"/>
      <c r="L16" s="6"/>
      <c r="M16" s="6"/>
      <c r="N16" s="6"/>
      <c r="O16" s="6"/>
      <c r="P16" s="6"/>
      <c r="T16" s="6"/>
      <c r="W16">
        <v>1</v>
      </c>
    </row>
    <row r="17" spans="6:16" ht="40" customHeight="1" x14ac:dyDescent="0.2">
      <c r="F17" s="19"/>
      <c r="J17" s="6"/>
      <c r="K17" s="6"/>
      <c r="L17" s="6"/>
      <c r="M17" s="6"/>
      <c r="N17" s="6"/>
      <c r="O17" s="6"/>
      <c r="P17" s="6"/>
    </row>
    <row r="18" spans="6:16" ht="40" customHeight="1" x14ac:dyDescent="0.2">
      <c r="F18" s="19"/>
      <c r="J18" s="6"/>
      <c r="K18" s="6"/>
      <c r="L18" s="6"/>
      <c r="M18" s="6"/>
      <c r="N18" s="6"/>
      <c r="O18" s="6"/>
      <c r="P18" s="6"/>
    </row>
    <row r="19" spans="6:16" ht="40" customHeight="1" x14ac:dyDescent="0.2">
      <c r="F19" s="19"/>
      <c r="I19" s="6"/>
      <c r="J19" s="6"/>
      <c r="K19" s="6"/>
      <c r="L19" s="6"/>
      <c r="M19" s="6"/>
      <c r="N19" s="6"/>
      <c r="O19" s="6"/>
      <c r="P19" s="6"/>
    </row>
    <row r="20" spans="6:16" ht="40" customHeight="1" x14ac:dyDescent="0.2">
      <c r="F20" s="19"/>
      <c r="I20" s="6"/>
      <c r="J20" s="6"/>
      <c r="K20" s="6"/>
      <c r="L20" s="6"/>
      <c r="M20" s="6"/>
      <c r="N20" s="6"/>
      <c r="O20" s="6"/>
      <c r="P20" s="6"/>
    </row>
    <row r="21" spans="6:16" ht="40" customHeight="1" x14ac:dyDescent="0.2">
      <c r="F21" s="19"/>
      <c r="I21" s="6"/>
      <c r="J21" s="6"/>
      <c r="K21" s="6"/>
      <c r="L21" s="6"/>
      <c r="M21" s="6"/>
      <c r="N21" s="6"/>
      <c r="O21" s="6"/>
      <c r="P21" s="6"/>
    </row>
    <row r="22" spans="6:16" ht="40" customHeight="1" x14ac:dyDescent="0.2">
      <c r="F22" s="19"/>
      <c r="I22" s="6"/>
      <c r="J22" s="6"/>
      <c r="K22" s="6"/>
      <c r="L22" s="6"/>
      <c r="M22" s="6"/>
      <c r="N22" s="6"/>
      <c r="O22" s="6"/>
      <c r="P22" s="6"/>
    </row>
    <row r="23" spans="6:16" ht="40" customHeight="1" x14ac:dyDescent="0.2">
      <c r="F23" s="19"/>
      <c r="I23" s="6"/>
      <c r="J23" s="6"/>
      <c r="K23" s="6"/>
      <c r="L23" s="6"/>
      <c r="M23" s="6"/>
      <c r="N23" s="6"/>
      <c r="O23" s="6"/>
      <c r="P23" s="6"/>
    </row>
    <row r="24" spans="6:16" ht="40" customHeight="1" x14ac:dyDescent="0.2">
      <c r="F24" s="19"/>
    </row>
    <row r="25" spans="6:16" ht="40" customHeight="1" x14ac:dyDescent="0.2">
      <c r="F25" s="19"/>
    </row>
    <row r="26" spans="6:16" ht="40" customHeight="1" x14ac:dyDescent="0.2">
      <c r="F26" s="19"/>
    </row>
    <row r="27" spans="6:16" ht="40" customHeight="1" x14ac:dyDescent="0.2">
      <c r="F27" s="19"/>
    </row>
    <row r="28" spans="6:16" ht="40" customHeight="1" x14ac:dyDescent="0.2">
      <c r="F28" s="19"/>
    </row>
    <row r="29" spans="6:16" ht="40" customHeight="1" x14ac:dyDescent="0.2">
      <c r="F29" s="19"/>
    </row>
    <row r="30" spans="6:16" ht="40" customHeight="1" x14ac:dyDescent="0.2">
      <c r="F30" s="19"/>
    </row>
    <row r="31" spans="6:16" ht="40" customHeight="1" x14ac:dyDescent="0.2">
      <c r="F31" s="19"/>
    </row>
    <row r="32" spans="6:16" ht="40" customHeight="1" x14ac:dyDescent="0.2">
      <c r="F32" s="19"/>
    </row>
    <row r="33" spans="6:6" ht="40" customHeight="1" x14ac:dyDescent="0.2">
      <c r="F33" s="19"/>
    </row>
    <row r="34" spans="6:6" ht="40" customHeight="1" x14ac:dyDescent="0.2">
      <c r="F34" s="19"/>
    </row>
    <row r="35" spans="6:6" ht="40" customHeight="1" x14ac:dyDescent="0.2">
      <c r="F35" s="19"/>
    </row>
    <row r="36" spans="6:6" ht="40" customHeight="1" x14ac:dyDescent="0.2">
      <c r="F36" s="19"/>
    </row>
    <row r="37" spans="6:6" ht="40" customHeight="1" x14ac:dyDescent="0.2">
      <c r="F37" s="1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741C-EE96-854F-A41C-096F594BFE6B}">
  <dimension ref="E3:BJ52"/>
  <sheetViews>
    <sheetView showGridLines="0" zoomScale="90" zoomScaleNormal="90" workbookViewId="0">
      <selection activeCell="I11" sqref="I11:R15"/>
    </sheetView>
  </sheetViews>
  <sheetFormatPr baseColWidth="10" defaultColWidth="8.33203125" defaultRowHeight="40" customHeight="1" x14ac:dyDescent="0.2"/>
  <cols>
    <col min="21" max="21" width="9.6640625" bestFit="1" customWidth="1"/>
    <col min="23" max="23" width="9.6640625" bestFit="1" customWidth="1"/>
    <col min="26" max="27" width="9.6640625" bestFit="1" customWidth="1"/>
  </cols>
  <sheetData>
    <row r="3" spans="5:62" ht="40" customHeight="1" x14ac:dyDescent="0.2">
      <c r="L3" t="s">
        <v>28</v>
      </c>
      <c r="M3" t="s">
        <v>38</v>
      </c>
    </row>
    <row r="6" spans="5:62" ht="40" customHeight="1" x14ac:dyDescent="0.2">
      <c r="F6" s="18"/>
    </row>
    <row r="7" spans="5:62" ht="40" customHeight="1" x14ac:dyDescent="0.2">
      <c r="F7" s="19"/>
      <c r="H7" t="s">
        <v>54</v>
      </c>
      <c r="I7" s="6"/>
      <c r="J7" s="6"/>
      <c r="K7" s="6"/>
      <c r="L7" s="6"/>
      <c r="M7" s="6"/>
      <c r="N7" s="6"/>
      <c r="O7" s="6"/>
    </row>
    <row r="8" spans="5:62" ht="40" customHeight="1" x14ac:dyDescent="0.2">
      <c r="F8" s="19"/>
      <c r="I8" s="6"/>
      <c r="J8" s="6"/>
      <c r="K8" s="6"/>
      <c r="L8" s="6"/>
      <c r="M8" s="6"/>
      <c r="N8" s="6"/>
      <c r="O8" s="6"/>
      <c r="P8" s="6"/>
      <c r="Q8" s="6"/>
      <c r="S8" s="22" t="s">
        <v>32</v>
      </c>
      <c r="T8" s="23"/>
      <c r="U8" s="23"/>
      <c r="V8" s="23"/>
      <c r="W8" s="23"/>
      <c r="X8" s="23"/>
      <c r="Y8" s="23"/>
      <c r="Z8" s="19"/>
      <c r="AA8" s="19"/>
      <c r="AB8" s="19"/>
      <c r="AC8" s="19"/>
      <c r="AD8" s="19"/>
      <c r="AE8" s="19"/>
      <c r="AF8" s="19"/>
      <c r="AG8" s="19"/>
      <c r="AH8" s="22" t="s">
        <v>33</v>
      </c>
      <c r="AI8" s="23"/>
      <c r="AJ8" s="23"/>
      <c r="AK8" s="23"/>
      <c r="AL8" s="23"/>
      <c r="AM8" s="23"/>
      <c r="AN8" s="23"/>
      <c r="AO8" s="19"/>
      <c r="AP8" s="19"/>
      <c r="AQ8" s="19"/>
      <c r="AR8" s="19"/>
      <c r="AS8" s="19"/>
      <c r="AT8" s="19"/>
      <c r="AU8" s="19"/>
      <c r="AV8" s="19"/>
      <c r="AW8" s="18" t="s">
        <v>34</v>
      </c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5:62" ht="40" customHeight="1" x14ac:dyDescent="0.2">
      <c r="F9" s="19"/>
      <c r="I9" s="6"/>
      <c r="J9" s="6"/>
      <c r="K9" s="6"/>
      <c r="L9" s="6"/>
      <c r="M9" s="6"/>
      <c r="N9" s="6"/>
      <c r="O9" s="6"/>
      <c r="P9" s="6"/>
      <c r="Q9" s="6"/>
      <c r="S9" s="36"/>
      <c r="T9" s="37" t="s">
        <v>0</v>
      </c>
      <c r="U9" s="37" t="s">
        <v>1</v>
      </c>
      <c r="V9" s="37" t="s">
        <v>2</v>
      </c>
      <c r="W9" s="37" t="s">
        <v>3</v>
      </c>
      <c r="X9" s="37" t="s">
        <v>4</v>
      </c>
      <c r="Y9" s="37" t="s">
        <v>5</v>
      </c>
      <c r="Z9" s="37" t="s">
        <v>6</v>
      </c>
      <c r="AA9" s="37" t="s">
        <v>7</v>
      </c>
      <c r="AB9" s="37" t="s">
        <v>8</v>
      </c>
      <c r="AC9" s="37" t="s">
        <v>9</v>
      </c>
      <c r="AD9" s="37" t="s">
        <v>10</v>
      </c>
      <c r="AE9" s="37" t="s">
        <v>11</v>
      </c>
      <c r="AF9" s="37" t="s">
        <v>12</v>
      </c>
      <c r="AG9" s="39"/>
      <c r="AH9" s="36"/>
      <c r="AI9" s="37" t="s">
        <v>0</v>
      </c>
      <c r="AJ9" s="37" t="s">
        <v>1</v>
      </c>
      <c r="AK9" s="37" t="s">
        <v>2</v>
      </c>
      <c r="AL9" s="37" t="s">
        <v>3</v>
      </c>
      <c r="AM9" s="37" t="s">
        <v>4</v>
      </c>
      <c r="AN9" s="37" t="s">
        <v>5</v>
      </c>
      <c r="AO9" s="37" t="s">
        <v>6</v>
      </c>
      <c r="AP9" s="37" t="s">
        <v>7</v>
      </c>
      <c r="AQ9" s="37" t="s">
        <v>8</v>
      </c>
      <c r="AR9" s="37" t="s">
        <v>9</v>
      </c>
      <c r="AS9" s="37" t="s">
        <v>10</v>
      </c>
      <c r="AT9" s="37" t="s">
        <v>11</v>
      </c>
      <c r="AU9" s="37" t="s">
        <v>12</v>
      </c>
      <c r="AV9" s="19"/>
      <c r="AW9" s="24"/>
      <c r="AX9" s="25" t="s">
        <v>0</v>
      </c>
      <c r="AY9" s="25" t="s">
        <v>1</v>
      </c>
      <c r="AZ9" s="25" t="s">
        <v>2</v>
      </c>
      <c r="BA9" s="25" t="s">
        <v>3</v>
      </c>
      <c r="BB9" s="25" t="s">
        <v>4</v>
      </c>
      <c r="BC9" s="25" t="s">
        <v>5</v>
      </c>
      <c r="BD9" s="25" t="s">
        <v>6</v>
      </c>
      <c r="BE9" s="25" t="s">
        <v>7</v>
      </c>
      <c r="BF9" s="25" t="s">
        <v>8</v>
      </c>
      <c r="BG9" s="25" t="s">
        <v>9</v>
      </c>
      <c r="BH9" s="25" t="s">
        <v>10</v>
      </c>
      <c r="BI9" s="25" t="s">
        <v>11</v>
      </c>
      <c r="BJ9" s="25" t="s">
        <v>12</v>
      </c>
    </row>
    <row r="10" spans="5:62" ht="40" customHeight="1" x14ac:dyDescent="0.2">
      <c r="E10" s="20"/>
      <c r="F10" s="21" t="s">
        <v>30</v>
      </c>
      <c r="G10" s="21" t="s">
        <v>31</v>
      </c>
      <c r="I10" s="6"/>
      <c r="J10" s="6"/>
      <c r="K10" s="6"/>
      <c r="L10" s="6"/>
      <c r="M10" s="6"/>
      <c r="N10" s="6"/>
      <c r="O10" s="6"/>
      <c r="P10" s="6"/>
      <c r="Q10" s="6"/>
      <c r="S10" s="38" t="s">
        <v>0</v>
      </c>
      <c r="T10" s="33"/>
      <c r="U10" s="58">
        <f>14*1.5</f>
        <v>21</v>
      </c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9"/>
      <c r="AH10" s="38" t="s">
        <v>0</v>
      </c>
      <c r="AI10" s="33"/>
      <c r="AJ10" s="58">
        <v>0</v>
      </c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19"/>
      <c r="AW10" s="26" t="s">
        <v>0</v>
      </c>
      <c r="AX10" s="27" t="str">
        <f>IF(SQRT(T10^2+AI10^2)=0,"",SQRT(T10^2+AI10^2))</f>
        <v/>
      </c>
      <c r="AY10" s="27">
        <f t="shared" ref="AY10:BJ22" si="0">IF(SQRT(U10^2+AJ10^2)=0,"",SQRT(U10^2+AJ10^2))</f>
        <v>21</v>
      </c>
      <c r="AZ10" s="27" t="str">
        <f t="shared" si="0"/>
        <v/>
      </c>
      <c r="BA10" s="27" t="str">
        <f t="shared" si="0"/>
        <v/>
      </c>
      <c r="BB10" s="27" t="str">
        <f t="shared" si="0"/>
        <v/>
      </c>
      <c r="BC10" s="27" t="str">
        <f t="shared" si="0"/>
        <v/>
      </c>
      <c r="BD10" s="27" t="str">
        <f t="shared" si="0"/>
        <v/>
      </c>
      <c r="BE10" s="27" t="str">
        <f t="shared" si="0"/>
        <v/>
      </c>
      <c r="BF10" s="27" t="str">
        <f t="shared" si="0"/>
        <v/>
      </c>
      <c r="BG10" s="27" t="str">
        <f t="shared" si="0"/>
        <v/>
      </c>
      <c r="BH10" s="27" t="str">
        <f t="shared" si="0"/>
        <v/>
      </c>
      <c r="BI10" s="27" t="str">
        <f t="shared" si="0"/>
        <v/>
      </c>
      <c r="BJ10" s="27" t="str">
        <f t="shared" si="0"/>
        <v/>
      </c>
    </row>
    <row r="11" spans="5:62" ht="40" customHeight="1" x14ac:dyDescent="0.2">
      <c r="E11" s="56" t="s">
        <v>0</v>
      </c>
      <c r="F11" s="57">
        <v>0.5</v>
      </c>
      <c r="G11" s="57">
        <v>2</v>
      </c>
      <c r="I11" s="6"/>
      <c r="J11" s="55">
        <v>1</v>
      </c>
      <c r="K11" s="55">
        <v>2</v>
      </c>
      <c r="L11" s="55">
        <v>3</v>
      </c>
      <c r="M11" s="55">
        <v>4</v>
      </c>
      <c r="N11" s="55">
        <v>5</v>
      </c>
      <c r="O11" s="54">
        <v>6</v>
      </c>
      <c r="P11" s="55">
        <v>7</v>
      </c>
      <c r="Q11" s="55">
        <v>8</v>
      </c>
      <c r="S11" s="38" t="s">
        <v>1</v>
      </c>
      <c r="T11" s="33"/>
      <c r="U11" s="33"/>
      <c r="V11" s="33"/>
      <c r="W11" s="58">
        <f>2*14</f>
        <v>28</v>
      </c>
      <c r="X11" s="33"/>
      <c r="Y11" s="33"/>
      <c r="Z11" s="33"/>
      <c r="AA11" s="33"/>
      <c r="AB11" s="33"/>
      <c r="AC11" s="33"/>
      <c r="AD11" s="33"/>
      <c r="AE11" s="33"/>
      <c r="AF11" s="33"/>
      <c r="AG11" s="39"/>
      <c r="AH11" s="38" t="s">
        <v>1</v>
      </c>
      <c r="AI11" s="33"/>
      <c r="AJ11" s="33"/>
      <c r="AK11" s="33"/>
      <c r="AL11" s="58">
        <v>0</v>
      </c>
      <c r="AM11" s="33"/>
      <c r="AN11" s="33"/>
      <c r="AO11" s="33"/>
      <c r="AP11" s="33"/>
      <c r="AQ11" s="33"/>
      <c r="AR11" s="33"/>
      <c r="AS11" s="33"/>
      <c r="AT11" s="33"/>
      <c r="AU11" s="33"/>
      <c r="AV11" s="19"/>
      <c r="AW11" s="26" t="s">
        <v>1</v>
      </c>
      <c r="AX11" s="27" t="str">
        <f>IF(SQRT(T11^2+AI11^2)=0,"",SQRT(T11^2+AI11^2))</f>
        <v/>
      </c>
      <c r="AY11" s="27" t="str">
        <f t="shared" si="0"/>
        <v/>
      </c>
      <c r="AZ11" s="27" t="str">
        <f t="shared" si="0"/>
        <v/>
      </c>
      <c r="BA11" s="27">
        <f t="shared" si="0"/>
        <v>28</v>
      </c>
      <c r="BB11" s="27" t="str">
        <f t="shared" si="0"/>
        <v/>
      </c>
      <c r="BC11" s="27" t="str">
        <f t="shared" si="0"/>
        <v/>
      </c>
      <c r="BD11" s="27" t="str">
        <f t="shared" si="0"/>
        <v/>
      </c>
      <c r="BE11" s="27" t="str">
        <f t="shared" si="0"/>
        <v/>
      </c>
      <c r="BF11" s="27" t="str">
        <f t="shared" si="0"/>
        <v/>
      </c>
      <c r="BG11" s="27" t="str">
        <f t="shared" si="0"/>
        <v/>
      </c>
      <c r="BH11" s="27" t="str">
        <f t="shared" si="0"/>
        <v/>
      </c>
      <c r="BI11" s="27" t="str">
        <f t="shared" si="0"/>
        <v/>
      </c>
      <c r="BJ11" s="27" t="str">
        <f t="shared" si="0"/>
        <v/>
      </c>
    </row>
    <row r="12" spans="5:62" ht="40" customHeight="1" x14ac:dyDescent="0.2">
      <c r="E12" s="56" t="s">
        <v>1</v>
      </c>
      <c r="F12" s="57">
        <v>2</v>
      </c>
      <c r="G12" s="57">
        <v>2</v>
      </c>
      <c r="I12" s="54">
        <v>1</v>
      </c>
      <c r="J12" s="6"/>
      <c r="K12" s="6"/>
      <c r="L12" s="6"/>
      <c r="M12" s="6"/>
      <c r="N12" s="6"/>
      <c r="O12" s="55"/>
      <c r="P12" s="6"/>
      <c r="Q12" s="6"/>
      <c r="S12" s="38" t="s">
        <v>2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9"/>
      <c r="AH12" s="38" t="s">
        <v>2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19"/>
      <c r="AW12" s="26" t="s">
        <v>2</v>
      </c>
      <c r="AX12" s="27" t="str">
        <f t="shared" ref="AX12:AX22" si="1">IF(SQRT(T12^2+AI12^2)=0,"",SQRT(T12^2+AI12^2))</f>
        <v/>
      </c>
      <c r="AY12" s="27" t="str">
        <f t="shared" si="0"/>
        <v/>
      </c>
      <c r="AZ12" s="27" t="str">
        <f t="shared" si="0"/>
        <v/>
      </c>
      <c r="BA12" s="27" t="str">
        <f t="shared" si="0"/>
        <v/>
      </c>
      <c r="BB12" s="27" t="str">
        <f t="shared" si="0"/>
        <v/>
      </c>
      <c r="BC12" s="27" t="str">
        <f t="shared" si="0"/>
        <v/>
      </c>
      <c r="BD12" s="27" t="str">
        <f t="shared" si="0"/>
        <v/>
      </c>
      <c r="BE12" s="27" t="str">
        <f t="shared" si="0"/>
        <v/>
      </c>
      <c r="BF12" s="27" t="str">
        <f t="shared" si="0"/>
        <v/>
      </c>
      <c r="BG12" s="27" t="str">
        <f t="shared" si="0"/>
        <v/>
      </c>
      <c r="BH12" s="27" t="str">
        <f t="shared" si="0"/>
        <v/>
      </c>
      <c r="BI12" s="27" t="str">
        <f t="shared" si="0"/>
        <v/>
      </c>
      <c r="BJ12" s="27" t="str">
        <f t="shared" si="0"/>
        <v/>
      </c>
    </row>
    <row r="13" spans="5:62" ht="40" customHeight="1" x14ac:dyDescent="0.2">
      <c r="E13" s="56" t="s">
        <v>3</v>
      </c>
      <c r="F13" s="57">
        <v>4</v>
      </c>
      <c r="G13" s="57">
        <v>2</v>
      </c>
      <c r="I13" s="54">
        <v>2</v>
      </c>
      <c r="J13" s="6"/>
      <c r="K13" s="6"/>
      <c r="L13" s="6"/>
      <c r="M13" s="6"/>
      <c r="N13" s="6"/>
      <c r="O13" s="6"/>
      <c r="P13" s="6"/>
      <c r="Q13" s="6"/>
      <c r="S13" s="38" t="s">
        <v>3</v>
      </c>
      <c r="T13" s="33"/>
      <c r="U13" s="33"/>
      <c r="V13" s="33"/>
      <c r="W13" s="33"/>
      <c r="X13" s="33"/>
      <c r="Y13" s="33"/>
      <c r="Z13" s="58">
        <f>1.5*14</f>
        <v>21</v>
      </c>
      <c r="AA13" s="33"/>
      <c r="AB13" s="33"/>
      <c r="AC13" s="33"/>
      <c r="AD13" s="33"/>
      <c r="AE13" s="33"/>
      <c r="AF13" s="33"/>
      <c r="AG13" s="39"/>
      <c r="AH13" s="38" t="s">
        <v>3</v>
      </c>
      <c r="AI13" s="33"/>
      <c r="AJ13" s="33"/>
      <c r="AK13" s="33"/>
      <c r="AL13" s="33"/>
      <c r="AM13" s="33"/>
      <c r="AN13" s="33"/>
      <c r="AO13" s="58">
        <v>0</v>
      </c>
      <c r="AP13" s="33"/>
      <c r="AQ13" s="33"/>
      <c r="AR13" s="33"/>
      <c r="AS13" s="33"/>
      <c r="AT13" s="33"/>
      <c r="AU13" s="33"/>
      <c r="AV13" s="19"/>
      <c r="AW13" s="26">
        <v>0</v>
      </c>
      <c r="AX13" s="27" t="str">
        <f t="shared" si="1"/>
        <v/>
      </c>
      <c r="AY13" s="27" t="str">
        <f t="shared" si="0"/>
        <v/>
      </c>
      <c r="AZ13" s="27" t="str">
        <f t="shared" si="0"/>
        <v/>
      </c>
      <c r="BA13" s="27" t="str">
        <f t="shared" si="0"/>
        <v/>
      </c>
      <c r="BB13" s="27" t="str">
        <f t="shared" si="0"/>
        <v/>
      </c>
      <c r="BC13" s="27" t="str">
        <f t="shared" si="0"/>
        <v/>
      </c>
      <c r="BD13" s="27">
        <f t="shared" si="0"/>
        <v>21</v>
      </c>
      <c r="BE13" s="27" t="str">
        <f t="shared" si="0"/>
        <v/>
      </c>
      <c r="BF13" s="27" t="str">
        <f t="shared" si="0"/>
        <v/>
      </c>
      <c r="BG13" s="27" t="str">
        <f t="shared" si="0"/>
        <v/>
      </c>
      <c r="BH13" s="27" t="str">
        <f t="shared" si="0"/>
        <v/>
      </c>
      <c r="BI13" s="27" t="str">
        <f t="shared" si="0"/>
        <v/>
      </c>
      <c r="BJ13" s="27" t="str">
        <f t="shared" si="0"/>
        <v/>
      </c>
    </row>
    <row r="14" spans="5:62" ht="40" customHeight="1" x14ac:dyDescent="0.2">
      <c r="E14" s="56" t="s">
        <v>6</v>
      </c>
      <c r="F14" s="57">
        <v>5.5</v>
      </c>
      <c r="G14" s="57">
        <v>2</v>
      </c>
      <c r="I14" s="54">
        <v>3</v>
      </c>
      <c r="J14" s="6"/>
      <c r="K14" s="6"/>
      <c r="L14" s="6"/>
      <c r="M14" s="6"/>
      <c r="N14" s="6"/>
      <c r="O14" s="6"/>
      <c r="P14" s="6"/>
      <c r="Q14" s="6"/>
      <c r="S14" s="38" t="s">
        <v>4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9"/>
      <c r="AH14" s="38" t="s">
        <v>4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19"/>
      <c r="AW14" s="26" t="s">
        <v>4</v>
      </c>
      <c r="AX14" s="27" t="str">
        <f t="shared" si="1"/>
        <v/>
      </c>
      <c r="AY14" s="27" t="str">
        <f t="shared" si="0"/>
        <v/>
      </c>
      <c r="AZ14" s="27" t="str">
        <f t="shared" si="0"/>
        <v/>
      </c>
      <c r="BA14" s="27" t="str">
        <f t="shared" si="0"/>
        <v/>
      </c>
      <c r="BB14" s="27" t="str">
        <f t="shared" si="0"/>
        <v/>
      </c>
      <c r="BC14" s="27" t="str">
        <f t="shared" si="0"/>
        <v/>
      </c>
      <c r="BD14" s="27" t="str">
        <f t="shared" si="0"/>
        <v/>
      </c>
      <c r="BE14" s="27" t="str">
        <f t="shared" si="0"/>
        <v/>
      </c>
      <c r="BF14" s="27" t="str">
        <f t="shared" si="0"/>
        <v/>
      </c>
      <c r="BG14" s="27" t="str">
        <f t="shared" si="0"/>
        <v/>
      </c>
      <c r="BH14" s="27" t="str">
        <f t="shared" si="0"/>
        <v/>
      </c>
      <c r="BI14" s="27" t="str">
        <f t="shared" si="0"/>
        <v/>
      </c>
      <c r="BJ14" s="27" t="str">
        <f t="shared" si="0"/>
        <v/>
      </c>
    </row>
    <row r="15" spans="5:62" ht="40" customHeight="1" x14ac:dyDescent="0.2">
      <c r="E15" s="56" t="s">
        <v>7</v>
      </c>
      <c r="F15" s="57">
        <v>7</v>
      </c>
      <c r="G15" s="57">
        <v>2</v>
      </c>
      <c r="I15" s="53">
        <v>4</v>
      </c>
      <c r="J15" s="6"/>
      <c r="K15" s="6"/>
      <c r="L15" s="6"/>
      <c r="M15" s="6"/>
      <c r="N15" s="6"/>
      <c r="O15" s="6"/>
      <c r="P15" s="6"/>
      <c r="Q15" s="6"/>
      <c r="S15" s="38" t="s">
        <v>5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9"/>
      <c r="AH15" s="38" t="s">
        <v>5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19"/>
      <c r="AW15" s="26" t="s">
        <v>5</v>
      </c>
      <c r="AX15" s="27" t="str">
        <f t="shared" si="1"/>
        <v/>
      </c>
      <c r="AY15" s="27" t="str">
        <f t="shared" si="0"/>
        <v/>
      </c>
      <c r="AZ15" s="27" t="str">
        <f t="shared" si="0"/>
        <v/>
      </c>
      <c r="BA15" s="27" t="str">
        <f t="shared" si="0"/>
        <v/>
      </c>
      <c r="BB15" s="27" t="str">
        <f t="shared" si="0"/>
        <v/>
      </c>
      <c r="BC15" s="27" t="str">
        <f t="shared" si="0"/>
        <v/>
      </c>
      <c r="BD15" s="27" t="str">
        <f t="shared" si="0"/>
        <v/>
      </c>
      <c r="BE15" s="27" t="str">
        <f t="shared" si="0"/>
        <v/>
      </c>
      <c r="BF15" s="27" t="str">
        <f t="shared" si="0"/>
        <v/>
      </c>
      <c r="BG15" s="27" t="str">
        <f t="shared" si="0"/>
        <v/>
      </c>
      <c r="BH15" s="27" t="str">
        <f t="shared" si="0"/>
        <v/>
      </c>
      <c r="BI15" s="27" t="str">
        <f t="shared" si="0"/>
        <v/>
      </c>
      <c r="BJ15" s="27" t="str">
        <f t="shared" si="0"/>
        <v/>
      </c>
    </row>
    <row r="16" spans="5:62" ht="40" customHeight="1" x14ac:dyDescent="0.2">
      <c r="F16" s="19"/>
      <c r="I16" s="6"/>
      <c r="J16" s="6"/>
      <c r="K16" s="6"/>
      <c r="L16" s="6"/>
      <c r="M16" s="6"/>
      <c r="N16" s="6"/>
      <c r="O16" s="6"/>
      <c r="P16" s="6"/>
      <c r="Q16" s="6"/>
      <c r="S16" s="38" t="s">
        <v>6</v>
      </c>
      <c r="T16" s="33"/>
      <c r="U16" s="33"/>
      <c r="V16" s="33"/>
      <c r="W16" s="33"/>
      <c r="X16" s="33"/>
      <c r="Y16" s="33"/>
      <c r="Z16" s="33"/>
      <c r="AA16" s="58">
        <f>1.5*14</f>
        <v>21</v>
      </c>
      <c r="AB16" s="33"/>
      <c r="AC16" s="33"/>
      <c r="AD16" s="33"/>
      <c r="AE16" s="33"/>
      <c r="AF16" s="33"/>
      <c r="AG16" s="39"/>
      <c r="AH16" s="38" t="s">
        <v>6</v>
      </c>
      <c r="AI16" s="33"/>
      <c r="AJ16" s="33"/>
      <c r="AK16" s="33"/>
      <c r="AL16" s="33"/>
      <c r="AM16" s="33"/>
      <c r="AN16" s="33"/>
      <c r="AO16" s="33"/>
      <c r="AP16" s="58">
        <v>0</v>
      </c>
      <c r="AQ16" s="33"/>
      <c r="AR16" s="33"/>
      <c r="AS16" s="33"/>
      <c r="AT16" s="33"/>
      <c r="AU16" s="33"/>
      <c r="AV16" s="19"/>
      <c r="AW16" s="26" t="s">
        <v>6</v>
      </c>
      <c r="AX16" s="27" t="str">
        <f t="shared" si="1"/>
        <v/>
      </c>
      <c r="AY16" s="27" t="str">
        <f t="shared" si="0"/>
        <v/>
      </c>
      <c r="AZ16" s="27" t="str">
        <f t="shared" si="0"/>
        <v/>
      </c>
      <c r="BA16" s="27" t="str">
        <f t="shared" si="0"/>
        <v/>
      </c>
      <c r="BB16" s="27" t="str">
        <f t="shared" si="0"/>
        <v/>
      </c>
      <c r="BC16" s="27" t="str">
        <f t="shared" si="0"/>
        <v/>
      </c>
      <c r="BD16" s="27" t="str">
        <f t="shared" si="0"/>
        <v/>
      </c>
      <c r="BE16" s="27">
        <f t="shared" si="0"/>
        <v>21</v>
      </c>
      <c r="BF16" s="27" t="str">
        <f t="shared" si="0"/>
        <v/>
      </c>
      <c r="BG16" s="27" t="str">
        <f t="shared" si="0"/>
        <v/>
      </c>
      <c r="BH16" s="27" t="str">
        <f t="shared" si="0"/>
        <v/>
      </c>
      <c r="BI16" s="27" t="str">
        <f t="shared" si="0"/>
        <v/>
      </c>
      <c r="BJ16" s="27" t="str">
        <f t="shared" si="0"/>
        <v/>
      </c>
    </row>
    <row r="17" spans="6:62" ht="40" customHeight="1" x14ac:dyDescent="0.2">
      <c r="F17" s="19"/>
      <c r="I17" s="6"/>
      <c r="J17" s="6"/>
      <c r="K17" s="6"/>
      <c r="L17" s="6"/>
      <c r="M17" s="6"/>
      <c r="N17" s="6"/>
      <c r="O17" s="6"/>
      <c r="P17" s="6"/>
      <c r="Q17" s="6"/>
      <c r="S17" s="38" t="s">
        <v>7</v>
      </c>
      <c r="T17" s="33"/>
      <c r="U17" s="33"/>
      <c r="V17" s="33"/>
      <c r="W17" s="33"/>
      <c r="X17" s="33"/>
      <c r="Y17" s="33"/>
      <c r="Z17" s="33"/>
      <c r="AA17" s="45"/>
      <c r="AB17" s="33"/>
      <c r="AC17" s="33"/>
      <c r="AD17" s="33"/>
      <c r="AE17" s="33"/>
      <c r="AF17" s="33"/>
      <c r="AG17" s="39"/>
      <c r="AH17" s="38" t="s">
        <v>7</v>
      </c>
      <c r="AI17" s="33"/>
      <c r="AJ17" s="33"/>
      <c r="AK17" s="33"/>
      <c r="AL17" s="33"/>
      <c r="AM17" s="33"/>
      <c r="AN17" s="33"/>
      <c r="AO17" s="33"/>
      <c r="AP17" s="45"/>
      <c r="AQ17" s="33"/>
      <c r="AR17" s="33"/>
      <c r="AS17" s="33"/>
      <c r="AT17" s="33"/>
      <c r="AU17" s="33"/>
      <c r="AV17" s="19"/>
      <c r="AW17" s="26" t="s">
        <v>7</v>
      </c>
      <c r="AX17" s="27" t="str">
        <f t="shared" si="1"/>
        <v/>
      </c>
      <c r="AY17" s="27" t="str">
        <f t="shared" si="0"/>
        <v/>
      </c>
      <c r="AZ17" s="27" t="str">
        <f t="shared" si="0"/>
        <v/>
      </c>
      <c r="BA17" s="27" t="str">
        <f t="shared" si="0"/>
        <v/>
      </c>
      <c r="BB17" s="27" t="str">
        <f t="shared" si="0"/>
        <v/>
      </c>
      <c r="BC17" s="27" t="str">
        <f t="shared" si="0"/>
        <v/>
      </c>
      <c r="BD17" s="27" t="str">
        <f t="shared" si="0"/>
        <v/>
      </c>
      <c r="BE17" s="27" t="str">
        <f t="shared" si="0"/>
        <v/>
      </c>
      <c r="BF17" s="27" t="str">
        <f t="shared" si="0"/>
        <v/>
      </c>
      <c r="BG17" s="27" t="str">
        <f t="shared" si="0"/>
        <v/>
      </c>
      <c r="BH17" s="27" t="str">
        <f t="shared" si="0"/>
        <v/>
      </c>
      <c r="BI17" s="27" t="str">
        <f t="shared" si="0"/>
        <v/>
      </c>
      <c r="BJ17" s="27" t="str">
        <f t="shared" si="0"/>
        <v/>
      </c>
    </row>
    <row r="18" spans="6:62" ht="40" customHeight="1" x14ac:dyDescent="0.2">
      <c r="F18" s="19"/>
      <c r="I18" s="6"/>
      <c r="J18" s="6"/>
      <c r="K18" s="6"/>
      <c r="L18" s="6"/>
      <c r="M18" s="6"/>
      <c r="N18" s="6"/>
      <c r="O18" s="6"/>
      <c r="P18" s="6"/>
      <c r="Q18" s="6"/>
      <c r="S18" s="38" t="s">
        <v>8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9"/>
      <c r="AH18" s="38" t="s">
        <v>8</v>
      </c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19"/>
      <c r="AW18" s="26" t="s">
        <v>8</v>
      </c>
      <c r="AX18" s="27" t="str">
        <f t="shared" si="1"/>
        <v/>
      </c>
      <c r="AY18" s="27" t="str">
        <f t="shared" si="0"/>
        <v/>
      </c>
      <c r="AZ18" s="27" t="str">
        <f t="shared" si="0"/>
        <v/>
      </c>
      <c r="BA18" s="27" t="str">
        <f t="shared" si="0"/>
        <v/>
      </c>
      <c r="BB18" s="27" t="str">
        <f t="shared" si="0"/>
        <v/>
      </c>
      <c r="BC18" s="27" t="str">
        <f t="shared" si="0"/>
        <v/>
      </c>
      <c r="BD18" s="27" t="str">
        <f t="shared" si="0"/>
        <v/>
      </c>
      <c r="BE18" s="27" t="str">
        <f t="shared" si="0"/>
        <v/>
      </c>
      <c r="BF18" s="27" t="str">
        <f t="shared" si="0"/>
        <v/>
      </c>
      <c r="BG18" s="27" t="str">
        <f t="shared" si="0"/>
        <v/>
      </c>
      <c r="BH18" s="27" t="str">
        <f t="shared" si="0"/>
        <v/>
      </c>
      <c r="BI18" s="27" t="str">
        <f t="shared" si="0"/>
        <v/>
      </c>
      <c r="BJ18" s="27" t="str">
        <f t="shared" si="0"/>
        <v/>
      </c>
    </row>
    <row r="19" spans="6:62" ht="40" customHeight="1" x14ac:dyDescent="0.2">
      <c r="F19" s="19"/>
      <c r="I19" s="6"/>
      <c r="J19" s="6"/>
      <c r="K19" s="6"/>
      <c r="L19" s="6"/>
      <c r="M19" s="6"/>
      <c r="N19" s="6"/>
      <c r="O19" s="6"/>
      <c r="P19" s="6"/>
      <c r="Q19" s="6"/>
      <c r="S19" s="38" t="s">
        <v>9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9"/>
      <c r="AH19" s="38" t="s">
        <v>9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19"/>
      <c r="AW19" s="26" t="s">
        <v>9</v>
      </c>
      <c r="AX19" s="27" t="str">
        <f t="shared" si="1"/>
        <v/>
      </c>
      <c r="AY19" s="27" t="str">
        <f t="shared" si="0"/>
        <v/>
      </c>
      <c r="AZ19" s="27" t="str">
        <f t="shared" si="0"/>
        <v/>
      </c>
      <c r="BA19" s="27" t="str">
        <f t="shared" si="0"/>
        <v/>
      </c>
      <c r="BB19" s="27" t="str">
        <f t="shared" si="0"/>
        <v/>
      </c>
      <c r="BC19" s="27" t="str">
        <f t="shared" si="0"/>
        <v/>
      </c>
      <c r="BD19" s="27" t="str">
        <f t="shared" si="0"/>
        <v/>
      </c>
      <c r="BE19" s="27" t="str">
        <f t="shared" si="0"/>
        <v/>
      </c>
      <c r="BF19" s="27" t="str">
        <f t="shared" si="0"/>
        <v/>
      </c>
      <c r="BG19" s="27" t="str">
        <f t="shared" si="0"/>
        <v/>
      </c>
      <c r="BH19" s="27" t="str">
        <f t="shared" si="0"/>
        <v/>
      </c>
      <c r="BI19" s="27" t="str">
        <f t="shared" si="0"/>
        <v/>
      </c>
      <c r="BJ19" s="27" t="str">
        <f t="shared" si="0"/>
        <v/>
      </c>
    </row>
    <row r="20" spans="6:62" ht="40" customHeight="1" x14ac:dyDescent="0.2">
      <c r="F20" s="19"/>
      <c r="I20" s="6"/>
      <c r="J20" s="6"/>
      <c r="K20" s="6"/>
      <c r="L20" s="6"/>
      <c r="M20" s="6"/>
      <c r="N20" s="6"/>
      <c r="O20" s="6"/>
      <c r="P20" s="6"/>
      <c r="Q20" s="6"/>
      <c r="S20" s="38" t="s">
        <v>10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9"/>
      <c r="AH20" s="38" t="s">
        <v>10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19"/>
      <c r="AW20" s="26" t="s">
        <v>10</v>
      </c>
      <c r="AX20" s="27" t="str">
        <f t="shared" si="1"/>
        <v/>
      </c>
      <c r="AY20" s="27" t="str">
        <f t="shared" si="0"/>
        <v/>
      </c>
      <c r="AZ20" s="27" t="str">
        <f t="shared" si="0"/>
        <v/>
      </c>
      <c r="BA20" s="27" t="str">
        <f t="shared" si="0"/>
        <v/>
      </c>
      <c r="BB20" s="27" t="str">
        <f t="shared" si="0"/>
        <v/>
      </c>
      <c r="BC20" s="27" t="str">
        <f t="shared" si="0"/>
        <v/>
      </c>
      <c r="BD20" s="27" t="str">
        <f t="shared" si="0"/>
        <v/>
      </c>
      <c r="BE20" s="27" t="str">
        <f t="shared" si="0"/>
        <v/>
      </c>
      <c r="BF20" s="27" t="str">
        <f t="shared" si="0"/>
        <v/>
      </c>
      <c r="BG20" s="27" t="str">
        <f t="shared" si="0"/>
        <v/>
      </c>
      <c r="BH20" s="27" t="str">
        <f t="shared" si="0"/>
        <v/>
      </c>
      <c r="BI20" s="27" t="str">
        <f t="shared" si="0"/>
        <v/>
      </c>
      <c r="BJ20" s="27" t="str">
        <f t="shared" si="0"/>
        <v/>
      </c>
    </row>
    <row r="21" spans="6:62" ht="40" customHeight="1" x14ac:dyDescent="0.2">
      <c r="F21" s="19"/>
      <c r="I21" s="6"/>
      <c r="J21" s="6"/>
      <c r="K21" s="6"/>
      <c r="L21" s="6"/>
      <c r="M21" s="6"/>
      <c r="N21" s="6"/>
      <c r="O21" s="6"/>
      <c r="P21" s="6"/>
      <c r="Q21" s="6"/>
      <c r="S21" s="38" t="s">
        <v>11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9"/>
      <c r="AH21" s="38" t="s">
        <v>11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19"/>
      <c r="AW21" s="26" t="s">
        <v>11</v>
      </c>
      <c r="AX21" s="27" t="str">
        <f t="shared" si="1"/>
        <v/>
      </c>
      <c r="AY21" s="27" t="str">
        <f t="shared" si="0"/>
        <v/>
      </c>
      <c r="AZ21" s="27" t="str">
        <f t="shared" si="0"/>
        <v/>
      </c>
      <c r="BA21" s="27" t="str">
        <f t="shared" si="0"/>
        <v/>
      </c>
      <c r="BB21" s="27" t="str">
        <f t="shared" si="0"/>
        <v/>
      </c>
      <c r="BC21" s="27" t="str">
        <f t="shared" si="0"/>
        <v/>
      </c>
      <c r="BD21" s="27" t="str">
        <f t="shared" si="0"/>
        <v/>
      </c>
      <c r="BE21" s="27" t="str">
        <f t="shared" si="0"/>
        <v/>
      </c>
      <c r="BF21" s="27" t="str">
        <f t="shared" si="0"/>
        <v/>
      </c>
      <c r="BG21" s="27" t="str">
        <f t="shared" si="0"/>
        <v/>
      </c>
      <c r="BH21" s="27" t="str">
        <f t="shared" si="0"/>
        <v/>
      </c>
      <c r="BI21" s="27" t="str">
        <f t="shared" si="0"/>
        <v/>
      </c>
      <c r="BJ21" s="27" t="str">
        <f t="shared" si="0"/>
        <v/>
      </c>
    </row>
    <row r="22" spans="6:62" ht="40" customHeight="1" x14ac:dyDescent="0.2">
      <c r="F22" s="19"/>
      <c r="I22" s="6"/>
      <c r="J22" s="6"/>
      <c r="K22" s="6"/>
      <c r="L22" s="6"/>
      <c r="M22" s="6"/>
      <c r="N22" s="6"/>
      <c r="O22" s="6"/>
      <c r="P22" s="6"/>
      <c r="Q22" s="6"/>
      <c r="S22" s="38" t="s">
        <v>12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9"/>
      <c r="AH22" s="38" t="s">
        <v>12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19"/>
      <c r="AW22" s="26" t="s">
        <v>12</v>
      </c>
      <c r="AX22" s="27" t="str">
        <f t="shared" si="1"/>
        <v/>
      </c>
      <c r="AY22" s="27" t="str">
        <f t="shared" si="0"/>
        <v/>
      </c>
      <c r="AZ22" s="27" t="str">
        <f t="shared" si="0"/>
        <v/>
      </c>
      <c r="BA22" s="27" t="str">
        <f t="shared" si="0"/>
        <v/>
      </c>
      <c r="BB22" s="27" t="str">
        <f t="shared" si="0"/>
        <v/>
      </c>
      <c r="BC22" s="27" t="str">
        <f t="shared" si="0"/>
        <v/>
      </c>
      <c r="BD22" s="27" t="str">
        <f t="shared" si="0"/>
        <v/>
      </c>
      <c r="BE22" s="27" t="str">
        <f t="shared" si="0"/>
        <v/>
      </c>
      <c r="BF22" s="27" t="str">
        <f t="shared" si="0"/>
        <v/>
      </c>
      <c r="BG22" s="27" t="str">
        <f t="shared" si="0"/>
        <v/>
      </c>
      <c r="BH22" s="27" t="str">
        <f t="shared" si="0"/>
        <v/>
      </c>
      <c r="BI22" s="27" t="str">
        <f t="shared" si="0"/>
        <v/>
      </c>
      <c r="BJ22" s="27" t="str">
        <f t="shared" si="0"/>
        <v/>
      </c>
    </row>
    <row r="23" spans="6:62" ht="40" customHeight="1" x14ac:dyDescent="0.2">
      <c r="F23" s="19"/>
      <c r="I23" s="6"/>
      <c r="J23" s="6"/>
      <c r="K23" s="6"/>
      <c r="L23" s="6"/>
      <c r="M23" s="6"/>
      <c r="N23" s="6"/>
      <c r="O23" s="6"/>
      <c r="P23" s="6"/>
      <c r="Q23" s="6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</row>
    <row r="24" spans="6:62" ht="40" customHeight="1" x14ac:dyDescent="0.2">
      <c r="F24" s="19"/>
      <c r="I24" s="6"/>
      <c r="J24" s="6"/>
      <c r="K24" s="6"/>
      <c r="L24" s="6"/>
      <c r="M24" s="6"/>
      <c r="N24" s="6"/>
      <c r="O24" s="6"/>
      <c r="P24" s="6"/>
      <c r="Q24" s="6"/>
      <c r="S24" s="36"/>
      <c r="T24" s="37" t="s">
        <v>0</v>
      </c>
      <c r="U24" s="37" t="s">
        <v>1</v>
      </c>
      <c r="V24" s="37" t="s">
        <v>2</v>
      </c>
      <c r="W24" s="37" t="s">
        <v>3</v>
      </c>
      <c r="X24" s="37" t="s">
        <v>4</v>
      </c>
      <c r="Y24" s="37" t="s">
        <v>5</v>
      </c>
      <c r="Z24" s="37" t="s">
        <v>6</v>
      </c>
      <c r="AA24" s="37" t="s">
        <v>7</v>
      </c>
      <c r="AB24" s="37" t="s">
        <v>8</v>
      </c>
      <c r="AC24" s="37" t="s">
        <v>9</v>
      </c>
      <c r="AD24" s="37" t="s">
        <v>10</v>
      </c>
      <c r="AE24" s="37" t="s">
        <v>11</v>
      </c>
      <c r="AF24" s="37" t="s">
        <v>12</v>
      </c>
      <c r="AG24" s="19"/>
      <c r="AH24" s="24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</row>
    <row r="25" spans="6:62" ht="40" customHeight="1" x14ac:dyDescent="0.2">
      <c r="F25" s="19"/>
      <c r="I25" s="6"/>
      <c r="J25" s="6"/>
      <c r="K25" s="6"/>
      <c r="L25" s="6"/>
      <c r="M25" s="6"/>
      <c r="N25" s="6"/>
      <c r="O25" s="6"/>
      <c r="P25" s="6"/>
      <c r="Q25" s="6"/>
      <c r="S25" s="38" t="s">
        <v>0</v>
      </c>
      <c r="T25" s="45"/>
      <c r="U25" s="40">
        <v>9230.7692307692305</v>
      </c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19"/>
      <c r="AH25" s="26"/>
      <c r="AI25" s="3" t="s">
        <v>35</v>
      </c>
      <c r="AJ25" s="3"/>
      <c r="AK25" s="3"/>
      <c r="AL25" s="27">
        <f>SUMPRODUCT(T25:AF37,AX10:BJ22)</f>
        <v>840000</v>
      </c>
      <c r="AM25" s="3"/>
      <c r="AN25" s="3"/>
      <c r="AO25" s="3"/>
      <c r="AP25" s="3"/>
      <c r="AQ25" s="3"/>
      <c r="AR25" s="3"/>
      <c r="AS25" s="3"/>
      <c r="AT25" s="3"/>
      <c r="AU25" s="3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spans="6:62" ht="40" customHeight="1" x14ac:dyDescent="0.2">
      <c r="F26" s="19"/>
      <c r="S26" s="38" t="s">
        <v>1</v>
      </c>
      <c r="T26" s="45"/>
      <c r="U26" s="45"/>
      <c r="V26" s="45"/>
      <c r="W26" s="40">
        <v>9230.7692307692305</v>
      </c>
      <c r="X26" s="45"/>
      <c r="Y26" s="45"/>
      <c r="Z26" s="45"/>
      <c r="AA26" s="45"/>
      <c r="AB26" s="45"/>
      <c r="AC26" s="45"/>
      <c r="AD26" s="45"/>
      <c r="AE26" s="45"/>
      <c r="AF26" s="45"/>
      <c r="AG26" s="19"/>
      <c r="AH26" s="26"/>
      <c r="AI26" s="3" t="s">
        <v>36</v>
      </c>
      <c r="AJ26" s="3"/>
      <c r="AK26" s="3"/>
      <c r="AL26" s="28">
        <f>SUM(T25:AF37)</f>
        <v>36923.076923076922</v>
      </c>
      <c r="AM26" s="3"/>
      <c r="AN26" s="3"/>
      <c r="AO26" s="3"/>
      <c r="AP26" s="3"/>
      <c r="AQ26" s="3"/>
      <c r="AR26" s="3"/>
      <c r="AS26" s="3"/>
      <c r="AT26" s="3"/>
      <c r="AU26" s="3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spans="6:62" ht="40" customHeight="1" x14ac:dyDescent="0.2">
      <c r="F27" s="19"/>
      <c r="S27" s="38" t="s">
        <v>2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19"/>
      <c r="AH27" s="26"/>
      <c r="AI27" s="3" t="s">
        <v>37</v>
      </c>
      <c r="AJ27" s="3"/>
      <c r="AK27" s="3"/>
      <c r="AL27" s="27">
        <f>AL25/AL26</f>
        <v>22.75</v>
      </c>
      <c r="AM27" s="3"/>
      <c r="AN27" s="3"/>
      <c r="AO27" s="3"/>
      <c r="AP27" s="3"/>
      <c r="AQ27" s="3"/>
      <c r="AR27" s="3"/>
      <c r="AS27" s="3"/>
      <c r="AT27" s="3"/>
      <c r="AU27" s="3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6:62" ht="40" customHeight="1" x14ac:dyDescent="0.2">
      <c r="F28" s="19"/>
      <c r="S28" s="38" t="s">
        <v>3</v>
      </c>
      <c r="T28" s="45"/>
      <c r="U28" s="45"/>
      <c r="V28" s="45"/>
      <c r="W28" s="45"/>
      <c r="X28" s="45"/>
      <c r="Y28" s="45"/>
      <c r="Z28" s="40">
        <v>9230.7692307692305</v>
      </c>
      <c r="AA28" s="45"/>
      <c r="AB28" s="45"/>
      <c r="AC28" s="45"/>
      <c r="AD28" s="45"/>
      <c r="AE28" s="45"/>
      <c r="AF28" s="45"/>
      <c r="AG28" s="19"/>
      <c r="AH28" s="26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6:62" ht="40" customHeight="1" x14ac:dyDescent="0.2">
      <c r="F29" s="19"/>
      <c r="S29" s="38" t="s">
        <v>4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19"/>
      <c r="AH29" s="26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spans="6:62" ht="40" customHeight="1" x14ac:dyDescent="0.2">
      <c r="S30" s="38" t="s">
        <v>5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19"/>
      <c r="AH30" s="26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6:62" ht="40" customHeight="1" x14ac:dyDescent="0.2">
      <c r="S31" s="38" t="s">
        <v>6</v>
      </c>
      <c r="T31" s="45"/>
      <c r="U31" s="45"/>
      <c r="V31" s="45"/>
      <c r="W31" s="45"/>
      <c r="X31" s="45"/>
      <c r="Y31" s="45"/>
      <c r="Z31" s="45"/>
      <c r="AA31" s="40">
        <v>9230.7692307692305</v>
      </c>
      <c r="AB31" s="45"/>
      <c r="AC31" s="45"/>
      <c r="AD31" s="45"/>
      <c r="AE31" s="45"/>
      <c r="AF31" s="45"/>
      <c r="AG31" s="19"/>
      <c r="AH31" s="26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spans="6:62" ht="40" customHeight="1" x14ac:dyDescent="0.2">
      <c r="S32" s="38" t="s">
        <v>7</v>
      </c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19"/>
      <c r="AH32" s="26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18:62" ht="40" customHeight="1" x14ac:dyDescent="0.2">
      <c r="S33" s="38" t="s">
        <v>8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19"/>
      <c r="AH33" s="26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18:62" ht="40" customHeight="1" x14ac:dyDescent="0.2">
      <c r="S34" s="38" t="s">
        <v>9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19"/>
      <c r="AH34" s="26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18:62" ht="40" customHeight="1" x14ac:dyDescent="0.2">
      <c r="S35" s="38" t="s">
        <v>10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19"/>
      <c r="AH35" s="26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18:62" ht="40" customHeight="1" x14ac:dyDescent="0.2">
      <c r="S36" s="38" t="s">
        <v>11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19"/>
      <c r="AH36" s="26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18:62" ht="40" customHeight="1" x14ac:dyDescent="0.2">
      <c r="S37" s="38" t="s">
        <v>12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19"/>
      <c r="AH37" s="26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46" spans="18:62" ht="40" customHeight="1" x14ac:dyDescent="0.2">
      <c r="R46" s="17">
        <v>14</v>
      </c>
      <c r="S46" s="17">
        <v>350</v>
      </c>
      <c r="T46">
        <f>S46/14</f>
        <v>25</v>
      </c>
    </row>
    <row r="47" spans="18:62" ht="40" customHeight="1" x14ac:dyDescent="0.2">
      <c r="R47" s="17">
        <v>14</v>
      </c>
      <c r="S47" s="17">
        <v>70</v>
      </c>
      <c r="T47">
        <f t="shared" ref="T47:T52" si="2">S47/14</f>
        <v>5</v>
      </c>
    </row>
    <row r="48" spans="18:62" ht="40" customHeight="1" x14ac:dyDescent="0.2">
      <c r="R48" s="17">
        <v>14</v>
      </c>
      <c r="S48" s="17">
        <v>350</v>
      </c>
      <c r="T48">
        <f t="shared" si="2"/>
        <v>25</v>
      </c>
    </row>
    <row r="49" spans="18:20" ht="40" customHeight="1" x14ac:dyDescent="0.2">
      <c r="R49" s="17">
        <v>14</v>
      </c>
      <c r="S49" s="17">
        <v>42</v>
      </c>
      <c r="T49">
        <f t="shared" si="2"/>
        <v>3</v>
      </c>
    </row>
    <row r="50" spans="18:20" ht="40" customHeight="1" x14ac:dyDescent="0.2">
      <c r="R50" s="17">
        <v>14</v>
      </c>
      <c r="S50" s="17">
        <v>182</v>
      </c>
      <c r="T50">
        <f t="shared" si="2"/>
        <v>13</v>
      </c>
    </row>
    <row r="51" spans="18:20" ht="40" customHeight="1" x14ac:dyDescent="0.2">
      <c r="R51" s="17">
        <v>14</v>
      </c>
      <c r="S51" s="17">
        <v>252</v>
      </c>
      <c r="T51">
        <f t="shared" si="2"/>
        <v>18</v>
      </c>
    </row>
    <row r="52" spans="18:20" ht="40" customHeight="1" x14ac:dyDescent="0.2">
      <c r="R52" s="17">
        <v>14</v>
      </c>
      <c r="S52" s="17">
        <v>468</v>
      </c>
      <c r="T52">
        <f t="shared" si="2"/>
        <v>33.428571428571431</v>
      </c>
    </row>
  </sheetData>
  <conditionalFormatting sqref="T10:AF22">
    <cfRule type="colorScale" priority="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T25:AF37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I25:AU37">
    <cfRule type="colorScale" priority="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X10:BJ22">
    <cfRule type="colorScale" priority="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I10:AU22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82FF-7FCD-8A4D-88CE-3543B3EBE933}">
  <dimension ref="D2:P30"/>
  <sheetViews>
    <sheetView showGridLines="0" tabSelected="1" topLeftCell="A8" workbookViewId="0">
      <selection activeCell="L12" sqref="L12"/>
    </sheetView>
  </sheetViews>
  <sheetFormatPr baseColWidth="10" defaultColWidth="8.33203125" defaultRowHeight="40" customHeight="1" x14ac:dyDescent="0.2"/>
  <sheetData>
    <row r="2" spans="4:16" ht="40" customHeight="1" x14ac:dyDescent="0.2">
      <c r="J2" t="s">
        <v>28</v>
      </c>
      <c r="K2" t="s">
        <v>38</v>
      </c>
    </row>
    <row r="9" spans="4:16" ht="40" customHeight="1" thickBot="1" x14ac:dyDescent="0.25">
      <c r="G9" s="6"/>
      <c r="H9" s="6"/>
      <c r="I9" s="6"/>
      <c r="J9" s="6"/>
      <c r="K9" s="6"/>
      <c r="L9" s="6"/>
      <c r="M9" s="6"/>
    </row>
    <row r="10" spans="4:16" ht="40" customHeight="1" thickBot="1" x14ac:dyDescent="0.25">
      <c r="G10" s="6"/>
      <c r="H10" s="6"/>
      <c r="I10" s="49" t="s">
        <v>28</v>
      </c>
      <c r="J10" s="50" t="s">
        <v>38</v>
      </c>
      <c r="K10" s="6"/>
    </row>
    <row r="11" spans="4:16" ht="40" customHeight="1" thickBot="1" x14ac:dyDescent="0.25">
      <c r="G11" s="6"/>
      <c r="H11" s="6"/>
      <c r="I11" s="6"/>
      <c r="J11" s="6"/>
      <c r="K11" s="6"/>
    </row>
    <row r="12" spans="4:16" ht="40" customHeight="1" thickBot="1" x14ac:dyDescent="0.25">
      <c r="F12" s="59"/>
      <c r="G12" s="59"/>
      <c r="H12" s="60"/>
      <c r="I12" s="48" t="s">
        <v>51</v>
      </c>
      <c r="J12" s="47">
        <f>14*14*4*8</f>
        <v>6272</v>
      </c>
      <c r="K12" s="60"/>
      <c r="L12" s="60"/>
      <c r="M12" s="59"/>
      <c r="N12" s="59"/>
      <c r="O12" s="59"/>
    </row>
    <row r="13" spans="4:16" ht="40" customHeight="1" thickBot="1" x14ac:dyDescent="0.25">
      <c r="D13" s="51" t="s">
        <v>40</v>
      </c>
      <c r="F13" s="59"/>
      <c r="G13" s="59"/>
      <c r="H13" s="60"/>
      <c r="I13" s="60"/>
      <c r="J13" s="60"/>
      <c r="K13" s="60"/>
      <c r="L13" s="60"/>
      <c r="M13" s="59"/>
      <c r="N13" s="59"/>
      <c r="O13" s="59"/>
    </row>
    <row r="14" spans="4:16" ht="40" customHeight="1" x14ac:dyDescent="0.2">
      <c r="D14" s="51"/>
      <c r="F14" s="59"/>
      <c r="G14" s="61"/>
      <c r="H14" s="62">
        <v>1</v>
      </c>
      <c r="I14" s="62">
        <v>2</v>
      </c>
      <c r="J14" s="62">
        <v>3</v>
      </c>
      <c r="K14" s="62">
        <v>4</v>
      </c>
      <c r="L14" s="62">
        <v>5</v>
      </c>
      <c r="M14" s="63">
        <v>6</v>
      </c>
      <c r="N14" s="62">
        <v>7</v>
      </c>
      <c r="O14" s="62">
        <v>8</v>
      </c>
      <c r="P14" s="29"/>
    </row>
    <row r="15" spans="4:16" ht="40" customHeight="1" x14ac:dyDescent="0.2">
      <c r="F15" s="59"/>
      <c r="G15" s="64">
        <v>1</v>
      </c>
      <c r="H15" s="60"/>
      <c r="I15" s="60"/>
      <c r="J15" s="60"/>
      <c r="K15" s="60"/>
      <c r="L15" s="60"/>
      <c r="M15" s="65"/>
      <c r="N15" s="60"/>
      <c r="O15" s="60"/>
      <c r="P15" s="30"/>
    </row>
    <row r="16" spans="4:16" ht="40" customHeight="1" x14ac:dyDescent="0.2">
      <c r="F16" s="59"/>
      <c r="G16" s="64">
        <v>2</v>
      </c>
      <c r="H16" s="60"/>
      <c r="I16" s="60"/>
      <c r="J16" s="60"/>
      <c r="K16" s="60"/>
      <c r="L16" s="60"/>
      <c r="M16" s="60"/>
      <c r="N16" s="60"/>
      <c r="O16" s="60"/>
      <c r="P16" s="30"/>
    </row>
    <row r="17" spans="6:16" ht="40" customHeight="1" x14ac:dyDescent="0.2">
      <c r="F17" s="59"/>
      <c r="G17" s="64">
        <v>3</v>
      </c>
      <c r="H17" s="60"/>
      <c r="I17" s="60"/>
      <c r="J17" s="60"/>
      <c r="K17" s="60"/>
      <c r="L17" s="60"/>
      <c r="M17" s="60"/>
      <c r="N17" s="60"/>
      <c r="O17" s="60"/>
      <c r="P17" s="30"/>
    </row>
    <row r="18" spans="6:16" ht="40" customHeight="1" thickBot="1" x14ac:dyDescent="0.25">
      <c r="F18" s="59"/>
      <c r="G18" s="66">
        <v>4</v>
      </c>
      <c r="H18" s="46"/>
      <c r="I18" s="46"/>
      <c r="J18" s="46"/>
      <c r="K18" s="46"/>
      <c r="L18" s="46"/>
      <c r="M18" s="46"/>
      <c r="N18" s="46"/>
      <c r="O18" s="46"/>
      <c r="P18" s="31"/>
    </row>
    <row r="19" spans="6:16" ht="40" customHeight="1" x14ac:dyDescent="0.2">
      <c r="F19" s="59"/>
      <c r="G19" s="59"/>
      <c r="H19" s="60"/>
      <c r="I19" s="60"/>
      <c r="J19" s="60"/>
      <c r="K19" s="60"/>
      <c r="L19" s="60"/>
      <c r="M19" s="59"/>
      <c r="N19" s="59"/>
      <c r="O19" s="59"/>
    </row>
    <row r="20" spans="6:16" ht="40" customHeight="1" x14ac:dyDescent="0.2">
      <c r="F20" s="59"/>
      <c r="G20" s="59"/>
      <c r="H20" s="60"/>
      <c r="I20" s="60"/>
      <c r="J20" s="60"/>
      <c r="K20" s="60"/>
      <c r="L20" s="60"/>
      <c r="M20" s="59"/>
      <c r="N20" s="59"/>
      <c r="O20" s="59"/>
    </row>
    <row r="21" spans="6:16" ht="40" customHeight="1" x14ac:dyDescent="0.2">
      <c r="F21" s="59"/>
      <c r="G21" s="59"/>
      <c r="H21" s="60"/>
      <c r="I21" s="60"/>
      <c r="J21" s="60"/>
      <c r="K21" s="60"/>
      <c r="L21" s="60"/>
      <c r="M21" s="59"/>
      <c r="N21" s="59"/>
      <c r="O21" s="59"/>
    </row>
    <row r="22" spans="6:16" ht="40" customHeight="1" x14ac:dyDescent="0.2">
      <c r="F22" s="59"/>
      <c r="G22" s="59"/>
      <c r="H22" s="60"/>
      <c r="I22" s="60"/>
      <c r="J22" s="60"/>
      <c r="K22" s="60"/>
      <c r="L22" s="60"/>
      <c r="M22" s="59"/>
      <c r="N22" s="59"/>
      <c r="O22" s="59"/>
    </row>
    <row r="23" spans="6:16" ht="40" customHeight="1" x14ac:dyDescent="0.2">
      <c r="H23" s="6"/>
      <c r="I23" s="6"/>
      <c r="J23" s="6"/>
      <c r="K23" s="6"/>
      <c r="L23" s="6"/>
    </row>
    <row r="24" spans="6:16" ht="40" customHeight="1" x14ac:dyDescent="0.2">
      <c r="H24" s="6"/>
      <c r="I24" s="6"/>
      <c r="J24" s="6"/>
      <c r="K24" s="6"/>
      <c r="L24" s="6"/>
    </row>
    <row r="25" spans="6:16" ht="40" customHeight="1" x14ac:dyDescent="0.2">
      <c r="H25" s="6"/>
      <c r="I25" s="6"/>
      <c r="J25" s="6"/>
      <c r="K25" s="6"/>
      <c r="L25" s="6"/>
    </row>
    <row r="26" spans="6:16" ht="40" customHeight="1" x14ac:dyDescent="0.2">
      <c r="H26" s="6"/>
      <c r="I26" s="6"/>
      <c r="J26" s="6"/>
      <c r="K26" s="6"/>
      <c r="L26" s="6"/>
    </row>
    <row r="27" spans="6:16" ht="40" customHeight="1" x14ac:dyDescent="0.2">
      <c r="H27" s="6"/>
      <c r="I27" s="6"/>
      <c r="J27" s="6"/>
      <c r="K27" s="6"/>
      <c r="L27" s="6"/>
    </row>
    <row r="28" spans="6:16" ht="40" customHeight="1" x14ac:dyDescent="0.2">
      <c r="H28" s="6"/>
      <c r="I28" s="6"/>
      <c r="J28" s="6"/>
      <c r="K28" s="6"/>
      <c r="L28" s="6"/>
    </row>
    <row r="29" spans="6:16" ht="40" customHeight="1" x14ac:dyDescent="0.2">
      <c r="H29" s="6"/>
      <c r="I29" s="6"/>
      <c r="J29" s="6"/>
      <c r="K29" s="6"/>
      <c r="L29" s="6"/>
    </row>
    <row r="30" spans="6:16" ht="40" customHeight="1" x14ac:dyDescent="0.2">
      <c r="H30" s="6"/>
      <c r="I30" s="6"/>
      <c r="J30" s="6"/>
      <c r="K30" s="6"/>
      <c r="L30" s="6"/>
    </row>
  </sheetData>
  <mergeCells count="1">
    <mergeCell ref="D13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Matrix</vt:lpstr>
      <vt:lpstr>Step2</vt:lpstr>
      <vt:lpstr>Size Matrix</vt:lpstr>
      <vt:lpstr>Skeleton Layout</vt:lpstr>
      <vt:lpstr>Distance for Travel</vt:lpstr>
      <vt:lpstr>Final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Shankar Aadhithyaa</dc:creator>
  <cp:lastModifiedBy>Subramanian, Shankar Aadhithyaa</cp:lastModifiedBy>
  <dcterms:created xsi:type="dcterms:W3CDTF">2025-11-08T15:46:19Z</dcterms:created>
  <dcterms:modified xsi:type="dcterms:W3CDTF">2025-11-12T02:06:10Z</dcterms:modified>
</cp:coreProperties>
</file>