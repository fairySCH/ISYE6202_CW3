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karaadhithyaa/Library/Mobile Documents/com~apple~CloudDocs/Studies/ISyE 6335/Casework-3/"/>
    </mc:Choice>
  </mc:AlternateContent>
  <xr:revisionPtr revIDLastSave="0" documentId="13_ncr:1_{4A8C5778-C926-A14A-BD6E-8A17239F25BF}" xr6:coauthVersionLast="47" xr6:coauthVersionMax="47" xr10:uidLastSave="{00000000-0000-0000-0000-000000000000}"/>
  <bookViews>
    <workbookView xWindow="0" yWindow="680" windowWidth="29400" windowHeight="17320" activeTab="5" xr2:uid="{0D71519B-650F-3D41-AA73-1BC6CBA68DBE}"/>
  </bookViews>
  <sheets>
    <sheet name="Flow Matrix" sheetId="1" r:id="rId1"/>
    <sheet name="Step2" sheetId="3" r:id="rId2"/>
    <sheet name="Size Matrix" sheetId="4" r:id="rId3"/>
    <sheet name="Skeleton Layout" sheetId="5" r:id="rId4"/>
    <sheet name="Distance for Travel" sheetId="6" r:id="rId5"/>
    <sheet name="Final Layou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J14" i="3"/>
  <c r="H13" i="3"/>
  <c r="J13" i="3" s="1"/>
  <c r="H14" i="3"/>
  <c r="H15" i="3"/>
  <c r="J15" i="3" s="1"/>
  <c r="H16" i="3"/>
  <c r="J16" i="3" s="1"/>
  <c r="H17" i="3"/>
  <c r="J17" i="3" s="1"/>
  <c r="H12" i="3"/>
  <c r="J12" i="3" s="1"/>
  <c r="K16" i="3"/>
  <c r="K17" i="3"/>
  <c r="K15" i="3"/>
  <c r="K14" i="3"/>
  <c r="K13" i="3"/>
  <c r="K12" i="3"/>
  <c r="J13" i="8"/>
  <c r="AG18" i="6"/>
  <c r="AF13" i="6"/>
  <c r="AA12" i="6"/>
  <c r="Z15" i="6"/>
  <c r="AC14" i="6"/>
  <c r="F13" i="3"/>
  <c r="F12" i="3"/>
  <c r="F17" i="3" l="1"/>
  <c r="G17" i="3" s="1"/>
  <c r="X10" i="1"/>
  <c r="X9" i="1"/>
  <c r="X8" i="1"/>
  <c r="X7" i="1"/>
  <c r="X6" i="1"/>
  <c r="F15" i="3"/>
  <c r="F16" i="3"/>
  <c r="G16" i="3" s="1"/>
  <c r="X47" i="6" l="1"/>
  <c r="X48" i="6"/>
  <c r="X49" i="6"/>
  <c r="X50" i="6"/>
  <c r="X51" i="6"/>
  <c r="X52" i="6"/>
  <c r="X46" i="6"/>
  <c r="BB11" i="6"/>
  <c r="AP26" i="6"/>
  <c r="BN22" i="6"/>
  <c r="BL22" i="6"/>
  <c r="BK22" i="6"/>
  <c r="BJ22" i="6"/>
  <c r="BI22" i="6"/>
  <c r="BH22" i="6"/>
  <c r="BG22" i="6"/>
  <c r="BF22" i="6"/>
  <c r="BE22" i="6"/>
  <c r="BD22" i="6"/>
  <c r="BC22" i="6"/>
  <c r="BB22" i="6"/>
  <c r="BM21" i="6"/>
  <c r="BL21" i="6" s="1"/>
  <c r="BK21" i="6"/>
  <c r="BJ21" i="6"/>
  <c r="BI21" i="6"/>
  <c r="BH21" i="6"/>
  <c r="BG21" i="6"/>
  <c r="BF21" i="6"/>
  <c r="BE21" i="6"/>
  <c r="BD21" i="6"/>
  <c r="BC21" i="6"/>
  <c r="BB21" i="6"/>
  <c r="BL20" i="6"/>
  <c r="BK20" i="6"/>
  <c r="BJ20" i="6"/>
  <c r="BI20" i="6"/>
  <c r="BH20" i="6"/>
  <c r="BG20" i="6"/>
  <c r="BF20" i="6"/>
  <c r="BE20" i="6"/>
  <c r="BD20" i="6"/>
  <c r="BC20" i="6"/>
  <c r="BB20" i="6"/>
  <c r="BN19" i="6"/>
  <c r="BM19" i="6"/>
  <c r="BL19" i="6"/>
  <c r="BK19" i="6"/>
  <c r="BI19" i="6"/>
  <c r="BH19" i="6"/>
  <c r="BG19" i="6"/>
  <c r="BF19" i="6"/>
  <c r="BE19" i="6"/>
  <c r="BD19" i="6"/>
  <c r="BC19" i="6"/>
  <c r="BB19" i="6"/>
  <c r="BN18" i="6"/>
  <c r="BM18" i="6"/>
  <c r="BL18" i="6"/>
  <c r="BJ18" i="6"/>
  <c r="BI18" i="6"/>
  <c r="BH18" i="6"/>
  <c r="BG18" i="6"/>
  <c r="BF18" i="6"/>
  <c r="BE18" i="6"/>
  <c r="BD18" i="6"/>
  <c r="BC18" i="6"/>
  <c r="BB18" i="6"/>
  <c r="BN17" i="6"/>
  <c r="BM17" i="6"/>
  <c r="BL17" i="6"/>
  <c r="BI17" i="6"/>
  <c r="BH17" i="6"/>
  <c r="BG17" i="6"/>
  <c r="BF17" i="6"/>
  <c r="BE17" i="6"/>
  <c r="BD17" i="6"/>
  <c r="BC17" i="6"/>
  <c r="BB17" i="6"/>
  <c r="BN16" i="6"/>
  <c r="BM16" i="6"/>
  <c r="BI16" i="6" s="1"/>
  <c r="BL16" i="6"/>
  <c r="BK16" i="6"/>
  <c r="BH16" i="6"/>
  <c r="BE16" i="6"/>
  <c r="BD16" i="6"/>
  <c r="BC16" i="6"/>
  <c r="BB16" i="6"/>
  <c r="BN15" i="6"/>
  <c r="BM15" i="6"/>
  <c r="BI15" i="6" s="1"/>
  <c r="BL15" i="6"/>
  <c r="BK15" i="6"/>
  <c r="BG15" i="6"/>
  <c r="BF15" i="6"/>
  <c r="BE15" i="6"/>
  <c r="BC15" i="6"/>
  <c r="BB15" i="6"/>
  <c r="BN14" i="6"/>
  <c r="BM14" i="6"/>
  <c r="BI14" i="6" s="1"/>
  <c r="BL14" i="6"/>
  <c r="BK14" i="6"/>
  <c r="BJ14" i="6"/>
  <c r="BF14" i="6"/>
  <c r="BE14" i="6"/>
  <c r="BD14" i="6"/>
  <c r="BC14" i="6"/>
  <c r="BB14" i="6"/>
  <c r="BH14" i="6"/>
  <c r="BG14" i="6"/>
  <c r="BN13" i="6"/>
  <c r="BM13" i="6"/>
  <c r="BL13" i="6"/>
  <c r="BK13" i="6"/>
  <c r="BG13" i="6"/>
  <c r="BF13" i="6"/>
  <c r="BE13" i="6"/>
  <c r="BC13" i="6"/>
  <c r="BB13" i="6"/>
  <c r="BN12" i="6"/>
  <c r="BM12" i="6"/>
  <c r="BL12" i="6"/>
  <c r="BK12" i="6"/>
  <c r="BI12" i="6"/>
  <c r="BH12" i="6"/>
  <c r="BG12" i="6"/>
  <c r="BF12" i="6"/>
  <c r="BD12" i="6"/>
  <c r="BC12" i="6"/>
  <c r="BB12" i="6"/>
  <c r="BN11" i="6"/>
  <c r="BM11" i="6"/>
  <c r="BL11" i="6"/>
  <c r="BK11" i="6"/>
  <c r="BJ11" i="6"/>
  <c r="BI11" i="6"/>
  <c r="BH11" i="6"/>
  <c r="BG11" i="6"/>
  <c r="BF11" i="6"/>
  <c r="BC11" i="6"/>
  <c r="BN10" i="6"/>
  <c r="BM10" i="6"/>
  <c r="BC10" i="6" s="1"/>
  <c r="BL10" i="6"/>
  <c r="BK10" i="6"/>
  <c r="BJ10" i="6"/>
  <c r="BI10" i="6"/>
  <c r="BH10" i="6"/>
  <c r="BG10" i="6"/>
  <c r="BF10" i="6"/>
  <c r="BE10" i="6"/>
  <c r="F14" i="3"/>
  <c r="BH13" i="6" l="1"/>
  <c r="BD13" i="6"/>
  <c r="BK17" i="6"/>
  <c r="BF16" i="6"/>
  <c r="BK18" i="6"/>
  <c r="BH15" i="6"/>
  <c r="BD15" i="6"/>
  <c r="BN21" i="6"/>
  <c r="BI13" i="6"/>
  <c r="BD11" i="6"/>
  <c r="BD10" i="6"/>
  <c r="BG16" i="6"/>
  <c r="BB10" i="6"/>
  <c r="G15" i="3"/>
  <c r="G14" i="3"/>
  <c r="G13" i="3"/>
  <c r="G12" i="3"/>
  <c r="X4" i="1" l="1"/>
  <c r="Y8" i="1" l="1"/>
  <c r="Z8" i="1" s="1"/>
  <c r="Y10" i="1"/>
  <c r="Z10" i="1" s="1"/>
  <c r="Y7" i="1"/>
  <c r="Z7" i="1" s="1"/>
  <c r="Y9" i="1"/>
  <c r="Z9" i="1" s="1"/>
  <c r="Y6" i="1"/>
  <c r="Z6" i="1" s="1"/>
  <c r="BE11" i="6"/>
  <c r="BE12" i="6"/>
  <c r="BN20" i="6"/>
  <c r="BM20" i="6"/>
  <c r="BM22" i="6"/>
  <c r="BJ15" i="6"/>
  <c r="BJ17" i="6"/>
  <c r="BJ12" i="6"/>
  <c r="BJ19" i="6"/>
  <c r="BJ13" i="6"/>
  <c r="BJ16" i="6"/>
  <c r="AP25" i="6" l="1"/>
  <c r="AP27" i="6" s="1"/>
</calcChain>
</file>

<file path=xl/sharedStrings.xml><?xml version="1.0" encoding="utf-8"?>
<sst xmlns="http://schemas.openxmlformats.org/spreadsheetml/2006/main" count="199" uniqueCount="57">
  <si>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</si>
  <si>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</si>
  <si>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</si>
  <si>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</si>
  <si>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</si>
  <si>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</si>
  <si>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</si>
  <si>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</si>
  <si>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</si>
  <si>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</si>
  <si>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</si>
  <si>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</si>
  <si>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</si>
  <si>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Total Flow</t>
  </si>
  <si>
    <t>% of total flow</t>
  </si>
  <si>
    <t>Cum flow%</t>
  </si>
  <si>
    <t>Equal flow across all machines</t>
  </si>
  <si>
    <t>Process</t>
  </si>
  <si>
    <t>Total_Equipment</t>
  </si>
  <si>
    <t>Utilization_per_Center</t>
  </si>
  <si>
    <t>Area per eqp ft2</t>
  </si>
  <si>
    <t>Total area of each eqp centre ft2</t>
  </si>
  <si>
    <t xml:space="preserve">L </t>
  </si>
  <si>
    <t>W</t>
  </si>
  <si>
    <t>ABCD</t>
  </si>
  <si>
    <t>Part</t>
  </si>
  <si>
    <t>Total_Machines</t>
  </si>
  <si>
    <t>C: 3.0</t>
  </si>
  <si>
    <t>14 Ft</t>
  </si>
  <si>
    <t>1unit</t>
  </si>
  <si>
    <t>1unit=</t>
  </si>
  <si>
    <t>X</t>
  </si>
  <si>
    <t>Y</t>
  </si>
  <si>
    <t>centre to centre distance (X axis)</t>
  </si>
  <si>
    <t>centre to centre distance (Y axis)</t>
  </si>
  <si>
    <t>Dist</t>
  </si>
  <si>
    <t>total distance</t>
  </si>
  <si>
    <t>Total flow</t>
  </si>
  <si>
    <t>Distance per trip</t>
  </si>
  <si>
    <t>14ft</t>
  </si>
  <si>
    <t>GROUP</t>
  </si>
  <si>
    <t>C-&gt;D</t>
  </si>
  <si>
    <t>HIJ</t>
  </si>
  <si>
    <t>I-&gt;J</t>
  </si>
  <si>
    <t>D-&gt;I</t>
  </si>
  <si>
    <t>E-&gt;F</t>
  </si>
  <si>
    <t>F-&gt;C</t>
  </si>
  <si>
    <t>EFG</t>
  </si>
  <si>
    <t>P7</t>
  </si>
  <si>
    <t>E: 4.0</t>
  </si>
  <si>
    <t>F: 5.0</t>
  </si>
  <si>
    <t>D: 12.0</t>
  </si>
  <si>
    <t>I: 5.0</t>
  </si>
  <si>
    <t>J: 7.0</t>
  </si>
  <si>
    <t>Area</t>
  </si>
  <si>
    <t>Aspect ratio 1unit=14ft L</t>
  </si>
  <si>
    <t>Aspect ratio 1unit=14ft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</si>
</sst>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indexed="8"/>
      <name val="Helvetica Neue"/>
      <family val="2"/>
    </font>
    <font>
      <sz val="8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theme="0"/>
      <name val="Helvetica Neue"/>
      <family val="2"/>
    </font>
    <font>
      <sz val="18"/>
      <color theme="0"/>
      <name val="Aptos Narrow"/>
      <family val="2"/>
      <scheme val="minor"/>
    </font>
    <font>
      <sz val="10"/>
      <color theme="1"/>
      <name val="Helvetica Neue"/>
      <family val="2"/>
    </font>
    <font>
      <b/>
      <sz val="10"/>
      <color theme="0"/>
      <name val="Helvetica Neue"/>
      <family val="2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</cellStyleXfs>
  <cellXfs count="65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9" fontId="7" fillId="0" borderId="2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6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8" fillId="6" borderId="1" xfId="0" applyFont="1" applyFill="1" applyBorder="1" applyAlignment="1">
      <alignment vertical="top"/>
    </xf>
    <xf numFmtId="49" fontId="8" fillId="6" borderId="1" xfId="0" applyNumberFormat="1" applyFont="1" applyFill="1" applyBorder="1" applyAlignment="1">
      <alignment vertical="top"/>
    </xf>
    <xf numFmtId="1" fontId="8" fillId="0" borderId="1" xfId="0" applyNumberFormat="1" applyFont="1" applyBorder="1" applyAlignment="1">
      <alignment vertical="top"/>
    </xf>
    <xf numFmtId="1" fontId="3" fillId="0" borderId="1" xfId="0" applyNumberFormat="1" applyFont="1" applyBorder="1" applyAlignment="1">
      <alignment vertical="top"/>
    </xf>
    <xf numFmtId="1" fontId="0" fillId="7" borderId="1" xfId="0" applyNumberFormat="1" applyFill="1" applyBorder="1" applyAlignment="1">
      <alignment vertical="top"/>
    </xf>
    <xf numFmtId="1" fontId="9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1" fontId="11" fillId="0" borderId="1" xfId="0" applyNumberFormat="1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1" xfId="0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9" fillId="0" borderId="1" xfId="0" applyFont="1" applyBorder="1"/>
    <xf numFmtId="0" fontId="9" fillId="3" borderId="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/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0" fillId="0" borderId="1" xfId="0" applyBorder="1"/>
  </cellXfs>
  <cellStyles count="3">
    <cellStyle name="Normal" xfId="0" builtinId="0"/>
    <cellStyle name="Normal 2" xfId="2" xr:uid="{C231D0D1-2CAF-444F-B2E8-676768CA1C9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154212</xdr:colOff>
      <xdr:row>5</xdr:row>
      <xdr:rowOff>136069</xdr:rowOff>
    </xdr:from>
    <xdr:to>
      <xdr:col>27</xdr:col>
      <xdr:colOff>312962</xdr:colOff>
      <xdr:row>5</xdr:row>
      <xdr:rowOff>144006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D190266-6C58-DD4B-8881-B67F08CA9B4C}"/>
            </a:ext>
          </a:extLst>
        </xdr:cNvPr>
        <xdr:cNvCxnSpPr/>
      </xdr:nvCxnSpPr>
      <xdr:spPr>
        <a:xfrm>
          <a:off x="13770426" y="1750783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126998</xdr:colOff>
      <xdr:row>6</xdr:row>
      <xdr:rowOff>63498</xdr:rowOff>
    </xdr:from>
    <xdr:to>
      <xdr:col>27</xdr:col>
      <xdr:colOff>285748</xdr:colOff>
      <xdr:row>6</xdr:row>
      <xdr:rowOff>71435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16D7737-6DAA-7042-A3F7-E6C2639B5BDB}"/>
            </a:ext>
          </a:extLst>
        </xdr:cNvPr>
        <xdr:cNvCxnSpPr/>
      </xdr:nvCxnSpPr>
      <xdr:spPr>
        <a:xfrm>
          <a:off x="13507355" y="1678212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126998</xdr:colOff>
      <xdr:row>7</xdr:row>
      <xdr:rowOff>63498</xdr:rowOff>
    </xdr:from>
    <xdr:to>
      <xdr:col>27</xdr:col>
      <xdr:colOff>285748</xdr:colOff>
      <xdr:row>7</xdr:row>
      <xdr:rowOff>71435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8AC30D3B-FAFE-A84B-9FD5-A0C51A3A69AB}"/>
            </a:ext>
          </a:extLst>
        </xdr:cNvPr>
        <xdr:cNvCxnSpPr/>
      </xdr:nvCxnSpPr>
      <xdr:spPr>
        <a:xfrm>
          <a:off x="13507355" y="1678212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154212</xdr:colOff>
      <xdr:row>8</xdr:row>
      <xdr:rowOff>136069</xdr:rowOff>
    </xdr:from>
    <xdr:to>
      <xdr:col>27</xdr:col>
      <xdr:colOff>312962</xdr:colOff>
      <xdr:row>8</xdr:row>
      <xdr:rowOff>144006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C032D2F-75E4-4149-B15C-304956AF8FE7}"/>
            </a:ext>
          </a:extLst>
        </xdr:cNvPr>
        <xdr:cNvCxnSpPr/>
      </xdr:nvCxnSpPr>
      <xdr:spPr>
        <a:xfrm>
          <a:off x="13939485" y="1775524"/>
          <a:ext cx="620568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154212</xdr:colOff>
      <xdr:row>9</xdr:row>
      <xdr:rowOff>136069</xdr:rowOff>
    </xdr:from>
    <xdr:to>
      <xdr:col>27</xdr:col>
      <xdr:colOff>312962</xdr:colOff>
      <xdr:row>9</xdr:row>
      <xdr:rowOff>144006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F6A161E-C198-9E4B-8C7E-1AF750F7C589}"/>
            </a:ext>
          </a:extLst>
        </xdr:cNvPr>
        <xdr:cNvCxnSpPr/>
      </xdr:nvCxnSpPr>
      <xdr:spPr>
        <a:xfrm>
          <a:off x="13939485" y="1775524"/>
          <a:ext cx="620568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632239</xdr:colOff>
      <xdr:row>11</xdr:row>
      <xdr:rowOff>259101</xdr:rowOff>
    </xdr:from>
    <xdr:to>
      <xdr:col>6</xdr:col>
      <xdr:colOff>4718</xdr:colOff>
      <xdr:row>11</xdr:row>
      <xdr:rowOff>390575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E0E241C-917C-B04D-8085-8FD833B85ACA}"/>
            </a:ext>
          </a:extLst>
        </xdr:cNvPr>
        <xdr:cNvCxnSpPr>
          <a:cxnSpLocks/>
          <a:stCxn id="12" idx="3"/>
          <a:endCxn id="20" idx="1"/>
        </xdr:cNvCxnSpPr>
      </xdr:nvCxnSpPr>
      <xdr:spPr>
        <a:xfrm>
          <a:off x="3172239" y="5847101"/>
          <a:ext cx="642479" cy="131474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8</xdr:col>
      <xdr:colOff>0</xdr:colOff>
      <xdr:row>11</xdr:row>
      <xdr:rowOff>257151</xdr:rowOff>
    </xdr:from>
    <xdr:to>
      <xdr:col>9</xdr:col>
      <xdr:colOff>1</xdr:colOff>
      <xdr:row>11</xdr:row>
      <xdr:rowOff>390575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D78A96B-C8C2-5944-A669-2248FF7EC837}"/>
            </a:ext>
          </a:extLst>
        </xdr:cNvPr>
        <xdr:cNvCxnSpPr>
          <a:cxnSpLocks/>
          <a:stCxn id="20" idx="3"/>
          <a:endCxn id="77" idx="1"/>
        </xdr:cNvCxnSpPr>
      </xdr:nvCxnSpPr>
      <xdr:spPr>
        <a:xfrm flipV="1">
          <a:off x="5080000" y="5845151"/>
          <a:ext cx="635001" cy="133424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10</xdr:col>
      <xdr:colOff>0</xdr:colOff>
      <xdr:row>11</xdr:row>
      <xdr:rowOff>257151</xdr:rowOff>
    </xdr:from>
    <xdr:to>
      <xdr:col>11</xdr:col>
      <xdr:colOff>12700</xdr:colOff>
      <xdr:row>12</xdr:row>
      <xdr:rowOff>1878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5DB1289-2E8A-8E49-8E29-F129048AFE06}"/>
            </a:ext>
          </a:extLst>
        </xdr:cNvPr>
        <xdr:cNvCxnSpPr>
          <a:stCxn id="77" idx="3"/>
          <a:endCxn id="67" idx="1"/>
        </xdr:cNvCxnSpPr>
      </xdr:nvCxnSpPr>
      <xdr:spPr>
        <a:xfrm>
          <a:off x="6350000" y="5845151"/>
          <a:ext cx="647700" cy="252727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12</xdr:col>
      <xdr:colOff>629042</xdr:colOff>
      <xdr:row>11</xdr:row>
      <xdr:rowOff>457342</xdr:rowOff>
    </xdr:from>
    <xdr:to>
      <xdr:col>14</xdr:col>
      <xdr:colOff>41727</xdr:colOff>
      <xdr:row>12</xdr:row>
      <xdr:rowOff>1878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5F2FD7A-F36B-A641-9D18-E29664321831}"/>
            </a:ext>
          </a:extLst>
        </xdr:cNvPr>
        <xdr:cNvCxnSpPr>
          <a:stCxn id="67" idx="3"/>
          <a:endCxn id="57" idx="1"/>
        </xdr:cNvCxnSpPr>
      </xdr:nvCxnSpPr>
      <xdr:spPr>
        <a:xfrm flipV="1">
          <a:off x="8249042" y="6045342"/>
          <a:ext cx="682685" cy="52536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16</xdr:col>
      <xdr:colOff>45926</xdr:colOff>
      <xdr:row>11</xdr:row>
      <xdr:rowOff>457342</xdr:rowOff>
    </xdr:from>
    <xdr:to>
      <xdr:col>17</xdr:col>
      <xdr:colOff>46297</xdr:colOff>
      <xdr:row>11</xdr:row>
      <xdr:rowOff>465908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C8FFC4B-7DA6-774D-BB54-D5673A8192C3}"/>
            </a:ext>
          </a:extLst>
        </xdr:cNvPr>
        <xdr:cNvCxnSpPr>
          <a:stCxn id="57" idx="3"/>
          <a:endCxn id="89" idx="1"/>
        </xdr:cNvCxnSpPr>
      </xdr:nvCxnSpPr>
      <xdr:spPr>
        <a:xfrm>
          <a:off x="10205926" y="6045342"/>
          <a:ext cx="635371" cy="8566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4</xdr:col>
      <xdr:colOff>0</xdr:colOff>
      <xdr:row>8</xdr:row>
      <xdr:rowOff>12700</xdr:rowOff>
    </xdr:from>
    <xdr:to>
      <xdr:col>5</xdr:col>
      <xdr:colOff>0</xdr:colOff>
      <xdr:row>15</xdr:row>
      <xdr:rowOff>12699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A1BCF8F-8ABC-B74D-B7B9-46C18B5A0335}"/>
            </a:ext>
          </a:extLst>
        </xdr:cNvPr>
        <xdr:cNvGrpSpPr/>
      </xdr:nvGrpSpPr>
      <xdr:grpSpPr>
        <a:xfrm>
          <a:off x="2540000" y="4076700"/>
          <a:ext cx="635000" cy="3555999"/>
          <a:chOff x="9052922" y="10123712"/>
          <a:chExt cx="2123440" cy="2153557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DF942AA-537B-EEEF-F5E7-870C97D173D8}"/>
              </a:ext>
            </a:extLst>
          </xdr:cNvPr>
          <xdr:cNvGrpSpPr/>
        </xdr:nvGrpSpPr>
        <xdr:grpSpPr>
          <a:xfrm>
            <a:off x="9052922" y="10123712"/>
            <a:ext cx="2123440" cy="2153557"/>
            <a:chOff x="2166446" y="4637853"/>
            <a:chExt cx="1951819" cy="1297469"/>
          </a:xfrm>
        </xdr:grpSpPr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538B028F-CDC5-D107-2B3F-50C5A749F6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183009" y="4669512"/>
              <a:ext cx="1935256" cy="1265810"/>
            </a:xfrm>
            <a:prstGeom prst="rect">
              <a:avLst/>
            </a:prstGeom>
          </xdr:spPr>
        </xdr:pic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BB7203C3-51B5-9C90-6E6E-0F6F85BD2AED}"/>
                </a:ext>
              </a:extLst>
            </xdr:cNvPr>
            <xdr:cNvSpPr/>
          </xdr:nvSpPr>
          <xdr:spPr>
            <a:xfrm>
              <a:off x="2166446" y="4637853"/>
              <a:ext cx="1943332" cy="1291924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5E796A-CE50-2DB2-15B4-AEE605EFC8E0}"/>
              </a:ext>
            </a:extLst>
          </xdr:cNvPr>
          <xdr:cNvSpPr/>
        </xdr:nvSpPr>
        <xdr:spPr>
          <a:xfrm>
            <a:off x="9555117" y="10723338"/>
            <a:ext cx="901337" cy="96048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E</a:t>
            </a:r>
          </a:p>
        </xdr:txBody>
      </xdr:sp>
    </xdr:grpSp>
    <xdr:clientData/>
  </xdr:twoCellAnchor>
  <xdr:twoCellAnchor>
    <xdr:from>
      <xdr:col>6</xdr:col>
      <xdr:colOff>0</xdr:colOff>
      <xdr:row>9</xdr:row>
      <xdr:rowOff>203200</xdr:rowOff>
    </xdr:from>
    <xdr:to>
      <xdr:col>8</xdr:col>
      <xdr:colOff>0</xdr:colOff>
      <xdr:row>14</xdr:row>
      <xdr:rowOff>88900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FD0B300-0E7A-A64F-A8FF-6185B07CDF65}"/>
            </a:ext>
          </a:extLst>
        </xdr:cNvPr>
        <xdr:cNvGrpSpPr/>
      </xdr:nvGrpSpPr>
      <xdr:grpSpPr>
        <a:xfrm>
          <a:off x="3810000" y="4775200"/>
          <a:ext cx="1270000" cy="2425700"/>
          <a:chOff x="12690315" y="11131003"/>
          <a:chExt cx="2052208" cy="2359298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58A24453-3857-5BDF-E671-D2E7D778683A}"/>
              </a:ext>
            </a:extLst>
          </xdr:cNvPr>
          <xdr:cNvGrpSpPr/>
        </xdr:nvGrpSpPr>
        <xdr:grpSpPr>
          <a:xfrm>
            <a:off x="12690315" y="11131003"/>
            <a:ext cx="2052208" cy="2359298"/>
            <a:chOff x="4697150" y="4663166"/>
            <a:chExt cx="1949975" cy="1266768"/>
          </a:xfrm>
        </xdr:grpSpPr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3DC56AB0-1303-A5A1-CEAA-04DCD2B06A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97150" y="466412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8E44BB-B2B8-C636-3E0C-0593414659AE}"/>
                </a:ext>
              </a:extLst>
            </xdr:cNvPr>
            <xdr:cNvSpPr/>
          </xdr:nvSpPr>
          <xdr:spPr>
            <a:xfrm>
              <a:off x="4704394" y="4663166"/>
              <a:ext cx="1942731" cy="125687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B6952CE-D849-05B5-1460-19F13AC21079}"/>
              </a:ext>
            </a:extLst>
          </xdr:cNvPr>
          <xdr:cNvSpPr/>
        </xdr:nvSpPr>
        <xdr:spPr>
          <a:xfrm>
            <a:off x="13302706" y="11895558"/>
            <a:ext cx="980077" cy="86648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F</a:t>
            </a:r>
          </a:p>
        </xdr:txBody>
      </xdr:sp>
    </xdr:grpSp>
    <xdr:clientData/>
  </xdr:twoCellAnchor>
  <xdr:twoCellAnchor>
    <xdr:from>
      <xdr:col>14</xdr:col>
      <xdr:colOff>41727</xdr:colOff>
      <xdr:row>8</xdr:row>
      <xdr:rowOff>317501</xdr:rowOff>
    </xdr:from>
    <xdr:to>
      <xdr:col>16</xdr:col>
      <xdr:colOff>76200</xdr:colOff>
      <xdr:row>15</xdr:row>
      <xdr:rowOff>89184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932BEC3F-A474-4F40-999F-9593ED13B943}"/>
            </a:ext>
          </a:extLst>
        </xdr:cNvPr>
        <xdr:cNvGrpSpPr/>
      </xdr:nvGrpSpPr>
      <xdr:grpSpPr>
        <a:xfrm>
          <a:off x="8931727" y="4381501"/>
          <a:ext cx="1304473" cy="3327683"/>
          <a:chOff x="398610" y="5025569"/>
          <a:chExt cx="2368176" cy="2385787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4887B92C-B6EA-E69E-DFB7-57CE6720779C}"/>
              </a:ext>
            </a:extLst>
          </xdr:cNvPr>
          <xdr:cNvGrpSpPr/>
        </xdr:nvGrpSpPr>
        <xdr:grpSpPr>
          <a:xfrm>
            <a:off x="398610" y="5025569"/>
            <a:ext cx="2368176" cy="2385787"/>
            <a:chOff x="1705668" y="3495864"/>
            <a:chExt cx="3164668" cy="932854"/>
          </a:xfrm>
        </xdr:grpSpPr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2990BFC8-1C0A-8F28-B995-E0DAC32DF57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13871" y="3496103"/>
              <a:ext cx="3056465" cy="918295"/>
            </a:xfrm>
            <a:prstGeom prst="rect">
              <a:avLst/>
            </a:prstGeom>
          </xdr:spPr>
        </xdr:pic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577F9C3-E13B-311D-A144-C4B1D45EE1FB}"/>
                </a:ext>
              </a:extLst>
            </xdr:cNvPr>
            <xdr:cNvSpPr/>
          </xdr:nvSpPr>
          <xdr:spPr>
            <a:xfrm>
              <a:off x="1705668" y="3495864"/>
              <a:ext cx="3091223" cy="93285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F0A7CFAF-5C7B-83E7-B93C-9EB07A248679}"/>
              </a:ext>
            </a:extLst>
          </xdr:cNvPr>
          <xdr:cNvSpPr txBox="1"/>
        </xdr:nvSpPr>
        <xdr:spPr>
          <a:xfrm>
            <a:off x="1097642" y="5669643"/>
            <a:ext cx="807357" cy="111235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sp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11</xdr:col>
      <xdr:colOff>12700</xdr:colOff>
      <xdr:row>8</xdr:row>
      <xdr:rowOff>482600</xdr:rowOff>
    </xdr:from>
    <xdr:to>
      <xdr:col>13</xdr:col>
      <xdr:colOff>0</xdr:colOff>
      <xdr:row>15</xdr:row>
      <xdr:rowOff>63500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C0A8C73C-2D36-1D47-ADBF-144075D7F64B}"/>
            </a:ext>
          </a:extLst>
        </xdr:cNvPr>
        <xdr:cNvGrpSpPr/>
      </xdr:nvGrpSpPr>
      <xdr:grpSpPr>
        <a:xfrm>
          <a:off x="6997700" y="4546600"/>
          <a:ext cx="1257300" cy="3136900"/>
          <a:chOff x="3655786" y="1115787"/>
          <a:chExt cx="1914071" cy="2485569"/>
        </a:xfrm>
      </xdr:grpSpPr>
      <xdr:grpSp>
        <xdr:nvGrpSpPr>
          <xdr:cNvPr id="64" name="Group 63">
            <a:extLst>
              <a:ext uri="{FF2B5EF4-FFF2-40B4-BE49-F238E27FC236}">
                <a16:creationId xmlns:a16="http://schemas.microsoft.com/office/drawing/2014/main" id="{1717A7AC-8549-B536-2DAF-7AB6AEB7C7BC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66" name="Picture 65">
              <a:extLst>
                <a:ext uri="{FF2B5EF4-FFF2-40B4-BE49-F238E27FC236}">
                  <a16:creationId xmlns:a16="http://schemas.microsoft.com/office/drawing/2014/main" id="{3CBF9F0F-EBAF-8B15-CED8-75C883EDB1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72033260-982D-C570-27A5-F015203CBE7D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FDBF41CA-BDCD-D48F-8A1E-9460C58A1AB6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28</xdr:col>
      <xdr:colOff>427919</xdr:colOff>
      <xdr:row>28</xdr:row>
      <xdr:rowOff>56239</xdr:rowOff>
    </xdr:from>
    <xdr:to>
      <xdr:col>32</xdr:col>
      <xdr:colOff>498927</xdr:colOff>
      <xdr:row>35</xdr:row>
      <xdr:rowOff>165097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E0421AFF-788C-BD41-A8B4-8353521EAF56}"/>
            </a:ext>
          </a:extLst>
        </xdr:cNvPr>
        <xdr:cNvGrpSpPr/>
      </xdr:nvGrpSpPr>
      <xdr:grpSpPr>
        <a:xfrm>
          <a:off x="18207919" y="14280239"/>
          <a:ext cx="2611008" cy="3664858"/>
          <a:chOff x="12690315" y="11131003"/>
          <a:chExt cx="2052208" cy="2359298"/>
        </a:xfrm>
      </xdr:grpSpPr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D0214455-82F1-49B2-0432-6E0E346BC35A}"/>
              </a:ext>
            </a:extLst>
          </xdr:cNvPr>
          <xdr:cNvGrpSpPr/>
        </xdr:nvGrpSpPr>
        <xdr:grpSpPr>
          <a:xfrm>
            <a:off x="12690315" y="11131003"/>
            <a:ext cx="2052208" cy="2359298"/>
            <a:chOff x="4697150" y="4663166"/>
            <a:chExt cx="1949975" cy="1266768"/>
          </a:xfrm>
        </xdr:grpSpPr>
        <xdr:pic>
          <xdr:nvPicPr>
            <xdr:cNvPr id="71" name="Picture 70">
              <a:extLst>
                <a:ext uri="{FF2B5EF4-FFF2-40B4-BE49-F238E27FC236}">
                  <a16:creationId xmlns:a16="http://schemas.microsoft.com/office/drawing/2014/main" id="{3794552A-496E-4B8A-501C-C9FF2578EA7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97150" y="466412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72" name="Rectangle 71">
              <a:extLst>
                <a:ext uri="{FF2B5EF4-FFF2-40B4-BE49-F238E27FC236}">
                  <a16:creationId xmlns:a16="http://schemas.microsoft.com/office/drawing/2014/main" id="{412BE57A-5179-D54F-6234-025591880ADB}"/>
                </a:ext>
              </a:extLst>
            </xdr:cNvPr>
            <xdr:cNvSpPr/>
          </xdr:nvSpPr>
          <xdr:spPr>
            <a:xfrm>
              <a:off x="4704394" y="4663166"/>
              <a:ext cx="1942731" cy="125687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FCB55A94-EDD2-362F-2137-EE676CED0C7E}"/>
              </a:ext>
            </a:extLst>
          </xdr:cNvPr>
          <xdr:cNvSpPr/>
        </xdr:nvSpPr>
        <xdr:spPr>
          <a:xfrm>
            <a:off x="13302706" y="11895558"/>
            <a:ext cx="980077" cy="86648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F</a:t>
            </a:r>
          </a:p>
        </xdr:txBody>
      </xdr:sp>
    </xdr:grpSp>
    <xdr:clientData/>
  </xdr:twoCellAnchor>
  <xdr:twoCellAnchor>
    <xdr:from>
      <xdr:col>9</xdr:col>
      <xdr:colOff>1</xdr:colOff>
      <xdr:row>10</xdr:row>
      <xdr:rowOff>14513</xdr:rowOff>
    </xdr:from>
    <xdr:to>
      <xdr:col>10</xdr:col>
      <xdr:colOff>0</xdr:colOff>
      <xdr:row>13</xdr:row>
      <xdr:rowOff>25400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433C417E-DD2D-EC44-8485-59CB8BC25FD4}"/>
            </a:ext>
          </a:extLst>
        </xdr:cNvPr>
        <xdr:cNvGrpSpPr/>
      </xdr:nvGrpSpPr>
      <xdr:grpSpPr>
        <a:xfrm>
          <a:off x="5715001" y="5094513"/>
          <a:ext cx="634999" cy="1534887"/>
          <a:chOff x="486956" y="1091837"/>
          <a:chExt cx="1152433" cy="1261292"/>
        </a:xfrm>
      </xdr:grpSpPr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70D29A06-EE66-88DF-F3FF-DE2231385E7E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76" name="Picture 75">
              <a:extLst>
                <a:ext uri="{FF2B5EF4-FFF2-40B4-BE49-F238E27FC236}">
                  <a16:creationId xmlns:a16="http://schemas.microsoft.com/office/drawing/2014/main" id="{BFD73304-0769-B3E0-6967-6C9DEC6488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77" name="Rectangle 76">
              <a:extLst>
                <a:ext uri="{FF2B5EF4-FFF2-40B4-BE49-F238E27FC236}">
                  <a16:creationId xmlns:a16="http://schemas.microsoft.com/office/drawing/2014/main" id="{4B08F7B4-99E1-4B82-90FA-05C5CAF10475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00255F51-3051-DE53-2E3C-A56B68E01C1F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17</xdr:col>
      <xdr:colOff>38101</xdr:colOff>
      <xdr:row>10</xdr:row>
      <xdr:rowOff>215901</xdr:rowOff>
    </xdr:from>
    <xdr:to>
      <xdr:col>20</xdr:col>
      <xdr:colOff>25401</xdr:colOff>
      <xdr:row>13</xdr:row>
      <xdr:rowOff>254000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1509CF45-7385-AC4C-BB03-F4478A18B597}"/>
            </a:ext>
          </a:extLst>
        </xdr:cNvPr>
        <xdr:cNvGrpSpPr/>
      </xdr:nvGrpSpPr>
      <xdr:grpSpPr>
        <a:xfrm>
          <a:off x="10833101" y="5295901"/>
          <a:ext cx="1892300" cy="1562099"/>
          <a:chOff x="7415704" y="5252355"/>
          <a:chExt cx="3184873" cy="3056534"/>
        </a:xfrm>
      </xdr:grpSpPr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D39268F2-CF49-66A3-DE86-9D940E5B1223}"/>
              </a:ext>
            </a:extLst>
          </xdr:cNvPr>
          <xdr:cNvGrpSpPr/>
        </xdr:nvGrpSpPr>
        <xdr:grpSpPr>
          <a:xfrm>
            <a:off x="7415704" y="5252355"/>
            <a:ext cx="3184873" cy="3056534"/>
            <a:chOff x="5969000" y="3563312"/>
            <a:chExt cx="3056466" cy="955052"/>
          </a:xfrm>
        </xdr:grpSpPr>
        <xdr:pic>
          <xdr:nvPicPr>
            <xdr:cNvPr id="88" name="Picture 87">
              <a:extLst>
                <a:ext uri="{FF2B5EF4-FFF2-40B4-BE49-F238E27FC236}">
                  <a16:creationId xmlns:a16="http://schemas.microsoft.com/office/drawing/2014/main" id="{9BAD521F-CA01-A2DF-9D53-05317C56FF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89" name="Rectangle 88">
              <a:extLst>
                <a:ext uri="{FF2B5EF4-FFF2-40B4-BE49-F238E27FC236}">
                  <a16:creationId xmlns:a16="http://schemas.microsoft.com/office/drawing/2014/main" id="{E0CBAFBF-4747-1319-9205-0526FE2085CB}"/>
                </a:ext>
              </a:extLst>
            </xdr:cNvPr>
            <xdr:cNvSpPr/>
          </xdr:nvSpPr>
          <xdr:spPr>
            <a:xfrm>
              <a:off x="5982239" y="3563312"/>
              <a:ext cx="3038286" cy="926876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AA636577-A024-29AA-279F-2D9C447C0CD1}"/>
              </a:ext>
            </a:extLst>
          </xdr:cNvPr>
          <xdr:cNvSpPr/>
        </xdr:nvSpPr>
        <xdr:spPr>
          <a:xfrm>
            <a:off x="8236857" y="5866530"/>
            <a:ext cx="1433286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632239</xdr:colOff>
      <xdr:row>7</xdr:row>
      <xdr:rowOff>259101</xdr:rowOff>
    </xdr:from>
    <xdr:to>
      <xdr:col>12</xdr:col>
      <xdr:colOff>4718</xdr:colOff>
      <xdr:row>7</xdr:row>
      <xdr:rowOff>390575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7D4F42FF-0757-6D43-B186-45BCC12901C7}"/>
            </a:ext>
          </a:extLst>
        </xdr:cNvPr>
        <xdr:cNvCxnSpPr>
          <a:cxnSpLocks/>
          <a:stCxn id="46" idx="3"/>
          <a:endCxn id="51" idx="1"/>
        </xdr:cNvCxnSpPr>
      </xdr:nvCxnSpPr>
      <xdr:spPr>
        <a:xfrm>
          <a:off x="3172239" y="5847101"/>
          <a:ext cx="642479" cy="131474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14</xdr:col>
      <xdr:colOff>0</xdr:colOff>
      <xdr:row>7</xdr:row>
      <xdr:rowOff>257151</xdr:rowOff>
    </xdr:from>
    <xdr:to>
      <xdr:col>14</xdr:col>
      <xdr:colOff>1</xdr:colOff>
      <xdr:row>7</xdr:row>
      <xdr:rowOff>390575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7219A9F6-8812-D24D-A8F6-F12FAA1089A7}"/>
            </a:ext>
          </a:extLst>
        </xdr:cNvPr>
        <xdr:cNvCxnSpPr>
          <a:cxnSpLocks/>
          <a:stCxn id="51" idx="3"/>
          <a:endCxn id="66" idx="1"/>
        </xdr:cNvCxnSpPr>
      </xdr:nvCxnSpPr>
      <xdr:spPr>
        <a:xfrm flipV="1">
          <a:off x="5080000" y="5845151"/>
          <a:ext cx="635001" cy="133424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10</xdr:col>
      <xdr:colOff>0</xdr:colOff>
      <xdr:row>4</xdr:row>
      <xdr:rowOff>12700</xdr:rowOff>
    </xdr:from>
    <xdr:to>
      <xdr:col>11</xdr:col>
      <xdr:colOff>0</xdr:colOff>
      <xdr:row>11</xdr:row>
      <xdr:rowOff>12699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120C49B5-1003-BA46-A860-CF4C7F688A10}"/>
            </a:ext>
          </a:extLst>
        </xdr:cNvPr>
        <xdr:cNvGrpSpPr/>
      </xdr:nvGrpSpPr>
      <xdr:grpSpPr>
        <a:xfrm>
          <a:off x="6350000" y="2044700"/>
          <a:ext cx="635000" cy="3555999"/>
          <a:chOff x="9052922" y="10123712"/>
          <a:chExt cx="2123440" cy="2153557"/>
        </a:xfrm>
      </xdr:grpSpPr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C302782-763A-C521-F52B-E424C87A3C2D}"/>
              </a:ext>
            </a:extLst>
          </xdr:cNvPr>
          <xdr:cNvGrpSpPr/>
        </xdr:nvGrpSpPr>
        <xdr:grpSpPr>
          <a:xfrm>
            <a:off x="9052922" y="10123712"/>
            <a:ext cx="2123440" cy="2153557"/>
            <a:chOff x="2166446" y="4637853"/>
            <a:chExt cx="1951819" cy="1297469"/>
          </a:xfrm>
        </xdr:grpSpPr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AAC287DA-4037-14F4-BCB5-BF93D39D91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183009" y="4669512"/>
              <a:ext cx="1935256" cy="1265810"/>
            </a:xfrm>
            <a:prstGeom prst="rect">
              <a:avLst/>
            </a:prstGeom>
          </xdr:spPr>
        </xdr:pic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2E07EA1C-9AEE-6EFD-0D2F-FBCB5C8B1C3A}"/>
                </a:ext>
              </a:extLst>
            </xdr:cNvPr>
            <xdr:cNvSpPr/>
          </xdr:nvSpPr>
          <xdr:spPr>
            <a:xfrm>
              <a:off x="2166446" y="4637853"/>
              <a:ext cx="1943332" cy="1291924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F73EE739-F46D-4402-CCC8-BACFB07C2C17}"/>
              </a:ext>
            </a:extLst>
          </xdr:cNvPr>
          <xdr:cNvSpPr/>
        </xdr:nvSpPr>
        <xdr:spPr>
          <a:xfrm>
            <a:off x="9555117" y="10723338"/>
            <a:ext cx="901337" cy="96048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E</a:t>
            </a:r>
          </a:p>
        </xdr:txBody>
      </xdr:sp>
    </xdr:grpSp>
    <xdr:clientData/>
  </xdr:twoCellAnchor>
  <xdr:twoCellAnchor>
    <xdr:from>
      <xdr:col>12</xdr:col>
      <xdr:colOff>0</xdr:colOff>
      <xdr:row>5</xdr:row>
      <xdr:rowOff>203200</xdr:rowOff>
    </xdr:from>
    <xdr:to>
      <xdr:col>14</xdr:col>
      <xdr:colOff>0</xdr:colOff>
      <xdr:row>10</xdr:row>
      <xdr:rowOff>88900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38E1A4A3-9901-C244-B24B-AA829C65092E}"/>
            </a:ext>
          </a:extLst>
        </xdr:cNvPr>
        <xdr:cNvGrpSpPr/>
      </xdr:nvGrpSpPr>
      <xdr:grpSpPr>
        <a:xfrm>
          <a:off x="6985000" y="2743200"/>
          <a:ext cx="1270000" cy="2425700"/>
          <a:chOff x="12690315" y="11131003"/>
          <a:chExt cx="2052208" cy="2359298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E8FC184F-062E-1925-F59B-E1F4CD238C6A}"/>
              </a:ext>
            </a:extLst>
          </xdr:cNvPr>
          <xdr:cNvGrpSpPr/>
        </xdr:nvGrpSpPr>
        <xdr:grpSpPr>
          <a:xfrm>
            <a:off x="12690315" y="11131003"/>
            <a:ext cx="2052208" cy="2359298"/>
            <a:chOff x="4697150" y="4663166"/>
            <a:chExt cx="1949975" cy="1266768"/>
          </a:xfrm>
        </xdr:grpSpPr>
        <xdr:pic>
          <xdr:nvPicPr>
            <xdr:cNvPr id="50" name="Picture 49">
              <a:extLst>
                <a:ext uri="{FF2B5EF4-FFF2-40B4-BE49-F238E27FC236}">
                  <a16:creationId xmlns:a16="http://schemas.microsoft.com/office/drawing/2014/main" id="{3FFA181D-5637-46F0-D3C7-0D5731A307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97150" y="466412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23C8CBDD-7034-8019-DA18-20A38A56E100}"/>
                </a:ext>
              </a:extLst>
            </xdr:cNvPr>
            <xdr:cNvSpPr/>
          </xdr:nvSpPr>
          <xdr:spPr>
            <a:xfrm>
              <a:off x="4704394" y="4663166"/>
              <a:ext cx="1942731" cy="125687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8D2F5941-7FB6-49EE-5DB5-602703218D78}"/>
              </a:ext>
            </a:extLst>
          </xdr:cNvPr>
          <xdr:cNvSpPr/>
        </xdr:nvSpPr>
        <xdr:spPr>
          <a:xfrm>
            <a:off x="13302706" y="11895558"/>
            <a:ext cx="980077" cy="86648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F</a:t>
            </a:r>
          </a:p>
        </xdr:txBody>
      </xdr:sp>
    </xdr:grpSp>
    <xdr:clientData/>
  </xdr:twoCellAnchor>
  <xdr:twoCellAnchor>
    <xdr:from>
      <xdr:col>17</xdr:col>
      <xdr:colOff>16327</xdr:colOff>
      <xdr:row>4</xdr:row>
      <xdr:rowOff>127001</xdr:rowOff>
    </xdr:from>
    <xdr:to>
      <xdr:col>19</xdr:col>
      <xdr:colOff>20526</xdr:colOff>
      <xdr:row>10</xdr:row>
      <xdr:rowOff>406684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5214653E-E24B-0E45-AA01-6D10E50158B1}"/>
            </a:ext>
          </a:extLst>
        </xdr:cNvPr>
        <xdr:cNvGrpSpPr/>
      </xdr:nvGrpSpPr>
      <xdr:grpSpPr>
        <a:xfrm>
          <a:off x="10176327" y="2159001"/>
          <a:ext cx="1274199" cy="3327683"/>
          <a:chOff x="398610" y="5025569"/>
          <a:chExt cx="2313215" cy="2385787"/>
        </a:xfrm>
      </xdr:grpSpPr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BBC60313-303E-952D-FD60-400CAF6E6B65}"/>
              </a:ext>
            </a:extLst>
          </xdr:cNvPr>
          <xdr:cNvGrpSpPr/>
        </xdr:nvGrpSpPr>
        <xdr:grpSpPr>
          <a:xfrm>
            <a:off x="398610" y="5025569"/>
            <a:ext cx="2313215" cy="2385787"/>
            <a:chOff x="1705668" y="3495864"/>
            <a:chExt cx="3091222" cy="932854"/>
          </a:xfrm>
        </xdr:grpSpPr>
        <xdr:pic>
          <xdr:nvPicPr>
            <xdr:cNvPr id="55" name="Picture 54">
              <a:extLst>
                <a:ext uri="{FF2B5EF4-FFF2-40B4-BE49-F238E27FC236}">
                  <a16:creationId xmlns:a16="http://schemas.microsoft.com/office/drawing/2014/main" id="{22ABFBB0-4332-170F-D6C9-942EE5812CF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13871" y="3496103"/>
              <a:ext cx="2902414" cy="918295"/>
            </a:xfrm>
            <a:prstGeom prst="rect">
              <a:avLst/>
            </a:prstGeom>
          </xdr:spPr>
        </xdr:pic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59847B1C-5706-6EC7-4410-82278B8B39D3}"/>
                </a:ext>
              </a:extLst>
            </xdr:cNvPr>
            <xdr:cNvSpPr/>
          </xdr:nvSpPr>
          <xdr:spPr>
            <a:xfrm>
              <a:off x="1705668" y="3495864"/>
              <a:ext cx="3091222" cy="93285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23A98BD9-C82C-06AA-342E-ED468F99EED9}"/>
              </a:ext>
            </a:extLst>
          </xdr:cNvPr>
          <xdr:cNvSpPr txBox="1"/>
        </xdr:nvSpPr>
        <xdr:spPr>
          <a:xfrm>
            <a:off x="1097642" y="5669643"/>
            <a:ext cx="807357" cy="111235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sp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15</xdr:col>
      <xdr:colOff>12700</xdr:colOff>
      <xdr:row>4</xdr:row>
      <xdr:rowOff>228600</xdr:rowOff>
    </xdr:from>
    <xdr:to>
      <xdr:col>17</xdr:col>
      <xdr:colOff>0</xdr:colOff>
      <xdr:row>10</xdr:row>
      <xdr:rowOff>283155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220C65F9-7B30-EA4E-BFAA-3B511D486BBD}"/>
            </a:ext>
          </a:extLst>
        </xdr:cNvPr>
        <xdr:cNvGrpSpPr/>
      </xdr:nvGrpSpPr>
      <xdr:grpSpPr>
        <a:xfrm>
          <a:off x="8902700" y="2260600"/>
          <a:ext cx="1257300" cy="3102555"/>
          <a:chOff x="3655786" y="1115787"/>
          <a:chExt cx="1914071" cy="2458355"/>
        </a:xfrm>
      </xdr:grpSpPr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C5C8C6D4-6429-7CEF-A544-4CFF342E86FB}"/>
              </a:ext>
            </a:extLst>
          </xdr:cNvPr>
          <xdr:cNvGrpSpPr/>
        </xdr:nvGrpSpPr>
        <xdr:grpSpPr>
          <a:xfrm>
            <a:off x="3655786" y="1115787"/>
            <a:ext cx="1914071" cy="2458355"/>
            <a:chOff x="6198908" y="1900224"/>
            <a:chExt cx="1311025" cy="1294313"/>
          </a:xfrm>
        </xdr:grpSpPr>
        <xdr:pic>
          <xdr:nvPicPr>
            <xdr:cNvPr id="60" name="Picture 59">
              <a:extLst>
                <a:ext uri="{FF2B5EF4-FFF2-40B4-BE49-F238E27FC236}">
                  <a16:creationId xmlns:a16="http://schemas.microsoft.com/office/drawing/2014/main" id="{46DAC5D2-1D99-510E-9385-8638CEBE70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282673"/>
            </a:xfrm>
            <a:prstGeom prst="rect">
              <a:avLst/>
            </a:prstGeom>
          </xdr:spPr>
        </xdr:pic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70DF863D-9880-4EFE-6A7B-BDDD6594B4EC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1F1F7D94-E375-038B-D483-972D30CB0CD1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14</xdr:col>
      <xdr:colOff>1</xdr:colOff>
      <xdr:row>6</xdr:row>
      <xdr:rowOff>14513</xdr:rowOff>
    </xdr:from>
    <xdr:to>
      <xdr:col>15</xdr:col>
      <xdr:colOff>0</xdr:colOff>
      <xdr:row>9</xdr:row>
      <xdr:rowOff>25400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B31718BF-7AC1-B84F-8780-EACBBD00F325}"/>
            </a:ext>
          </a:extLst>
        </xdr:cNvPr>
        <xdr:cNvGrpSpPr/>
      </xdr:nvGrpSpPr>
      <xdr:grpSpPr>
        <a:xfrm>
          <a:off x="8255001" y="3062513"/>
          <a:ext cx="634999" cy="1534887"/>
          <a:chOff x="486956" y="1091837"/>
          <a:chExt cx="1152433" cy="1261292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BA5790BB-9623-7312-FAAF-B188932E9EFE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65" name="Picture 64">
              <a:extLst>
                <a:ext uri="{FF2B5EF4-FFF2-40B4-BE49-F238E27FC236}">
                  <a16:creationId xmlns:a16="http://schemas.microsoft.com/office/drawing/2014/main" id="{36DC3394-B5A7-8E27-642D-30A259CACB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FC4F1A2D-C946-3189-3FF0-A70E8FEA0C9B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16EE7FA3-76A8-95B8-8006-79BAF6A4A249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19</xdr:col>
      <xdr:colOff>25401</xdr:colOff>
      <xdr:row>6</xdr:row>
      <xdr:rowOff>0</xdr:rowOff>
    </xdr:from>
    <xdr:to>
      <xdr:col>22</xdr:col>
      <xdr:colOff>12701</xdr:colOff>
      <xdr:row>8</xdr:row>
      <xdr:rowOff>482599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D3FA5120-F773-BD47-B35A-DA6051EED7E7}"/>
            </a:ext>
          </a:extLst>
        </xdr:cNvPr>
        <xdr:cNvGrpSpPr/>
      </xdr:nvGrpSpPr>
      <xdr:grpSpPr>
        <a:xfrm>
          <a:off x="11455401" y="3048000"/>
          <a:ext cx="1892300" cy="1498599"/>
          <a:chOff x="7415704" y="5252353"/>
          <a:chExt cx="3184873" cy="2932285"/>
        </a:xfrm>
      </xdr:grpSpPr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9267FDD3-ABB0-6203-79AB-946B130DC97A}"/>
              </a:ext>
            </a:extLst>
          </xdr:cNvPr>
          <xdr:cNvGrpSpPr/>
        </xdr:nvGrpSpPr>
        <xdr:grpSpPr>
          <a:xfrm>
            <a:off x="7415704" y="5252353"/>
            <a:ext cx="3184873" cy="2932285"/>
            <a:chOff x="5969000" y="3563312"/>
            <a:chExt cx="3056466" cy="916229"/>
          </a:xfrm>
        </xdr:grpSpPr>
        <xdr:pic>
          <xdr:nvPicPr>
            <xdr:cNvPr id="70" name="Picture 69">
              <a:extLst>
                <a:ext uri="{FF2B5EF4-FFF2-40B4-BE49-F238E27FC236}">
                  <a16:creationId xmlns:a16="http://schemas.microsoft.com/office/drawing/2014/main" id="{3060FDB7-5C0C-5406-3080-9641FE531D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907309"/>
            </a:xfrm>
            <a:prstGeom prst="rect">
              <a:avLst/>
            </a:prstGeom>
          </xdr:spPr>
        </xdr:pic>
        <xdr:sp macro="" textlink="">
          <xdr:nvSpPr>
            <xdr:cNvPr id="71" name="Rectangle 70">
              <a:extLst>
                <a:ext uri="{FF2B5EF4-FFF2-40B4-BE49-F238E27FC236}">
                  <a16:creationId xmlns:a16="http://schemas.microsoft.com/office/drawing/2014/main" id="{86442667-FE6D-1FD5-FB1D-46DCE1E8FC97}"/>
                </a:ext>
              </a:extLst>
            </xdr:cNvPr>
            <xdr:cNvSpPr/>
          </xdr:nvSpPr>
          <xdr:spPr>
            <a:xfrm>
              <a:off x="5982238" y="3563312"/>
              <a:ext cx="3038287" cy="916229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CD884A7F-C4DF-4B2F-066D-2C2198F33ADA}"/>
              </a:ext>
            </a:extLst>
          </xdr:cNvPr>
          <xdr:cNvSpPr/>
        </xdr:nvSpPr>
        <xdr:spPr>
          <a:xfrm>
            <a:off x="8236857" y="5866530"/>
            <a:ext cx="1433286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10</xdr:col>
      <xdr:colOff>444500</xdr:colOff>
      <xdr:row>5</xdr:row>
      <xdr:rowOff>279400</xdr:rowOff>
    </xdr:from>
    <xdr:to>
      <xdr:col>12</xdr:col>
      <xdr:colOff>282222</xdr:colOff>
      <xdr:row>5</xdr:row>
      <xdr:rowOff>481948</xdr:rowOff>
    </xdr:to>
    <xdr:sp macro="" textlink="">
      <xdr:nvSpPr>
        <xdr:cNvPr id="72" name="Right Arrow 71">
          <a:extLst>
            <a:ext uri="{FF2B5EF4-FFF2-40B4-BE49-F238E27FC236}">
              <a16:creationId xmlns:a16="http://schemas.microsoft.com/office/drawing/2014/main" id="{7E7A10DC-5AE9-5D49-B579-0B515ED701FA}"/>
            </a:ext>
          </a:extLst>
        </xdr:cNvPr>
        <xdr:cNvSpPr/>
      </xdr:nvSpPr>
      <xdr:spPr>
        <a:xfrm>
          <a:off x="6794500" y="28194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355600</xdr:colOff>
      <xdr:row>8</xdr:row>
      <xdr:rowOff>266700</xdr:rowOff>
    </xdr:from>
    <xdr:to>
      <xdr:col>14</xdr:col>
      <xdr:colOff>193322</xdr:colOff>
      <xdr:row>8</xdr:row>
      <xdr:rowOff>469248</xdr:rowOff>
    </xdr:to>
    <xdr:sp macro="" textlink="">
      <xdr:nvSpPr>
        <xdr:cNvPr id="73" name="Right Arrow 72">
          <a:extLst>
            <a:ext uri="{FF2B5EF4-FFF2-40B4-BE49-F238E27FC236}">
              <a16:creationId xmlns:a16="http://schemas.microsoft.com/office/drawing/2014/main" id="{43701C2C-81A9-6547-9AE6-B82F6A453EFC}"/>
            </a:ext>
          </a:extLst>
        </xdr:cNvPr>
        <xdr:cNvSpPr/>
      </xdr:nvSpPr>
      <xdr:spPr>
        <a:xfrm>
          <a:off x="7975600" y="43307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444500</xdr:colOff>
      <xdr:row>6</xdr:row>
      <xdr:rowOff>50800</xdr:rowOff>
    </xdr:from>
    <xdr:to>
      <xdr:col>15</xdr:col>
      <xdr:colOff>282222</xdr:colOff>
      <xdr:row>6</xdr:row>
      <xdr:rowOff>253348</xdr:rowOff>
    </xdr:to>
    <xdr:sp macro="" textlink="">
      <xdr:nvSpPr>
        <xdr:cNvPr id="74" name="Right Arrow 73">
          <a:extLst>
            <a:ext uri="{FF2B5EF4-FFF2-40B4-BE49-F238E27FC236}">
              <a16:creationId xmlns:a16="http://schemas.microsoft.com/office/drawing/2014/main" id="{C917F9AE-79FC-8B40-AF5B-5E24C216B634}"/>
            </a:ext>
          </a:extLst>
        </xdr:cNvPr>
        <xdr:cNvSpPr/>
      </xdr:nvSpPr>
      <xdr:spPr>
        <a:xfrm>
          <a:off x="8699500" y="30988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419100</xdr:colOff>
      <xdr:row>8</xdr:row>
      <xdr:rowOff>406400</xdr:rowOff>
    </xdr:from>
    <xdr:to>
      <xdr:col>17</xdr:col>
      <xdr:colOff>256822</xdr:colOff>
      <xdr:row>9</xdr:row>
      <xdr:rowOff>100948</xdr:rowOff>
    </xdr:to>
    <xdr:sp macro="" textlink="">
      <xdr:nvSpPr>
        <xdr:cNvPr id="75" name="Right Arrow 74">
          <a:extLst>
            <a:ext uri="{FF2B5EF4-FFF2-40B4-BE49-F238E27FC236}">
              <a16:creationId xmlns:a16="http://schemas.microsoft.com/office/drawing/2014/main" id="{1E554A30-B1A0-0A45-A658-0C7D36B5CF1F}"/>
            </a:ext>
          </a:extLst>
        </xdr:cNvPr>
        <xdr:cNvSpPr/>
      </xdr:nvSpPr>
      <xdr:spPr>
        <a:xfrm>
          <a:off x="9944100" y="44704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419100</xdr:colOff>
      <xdr:row>6</xdr:row>
      <xdr:rowOff>215900</xdr:rowOff>
    </xdr:from>
    <xdr:to>
      <xdr:col>19</xdr:col>
      <xdr:colOff>256822</xdr:colOff>
      <xdr:row>6</xdr:row>
      <xdr:rowOff>418448</xdr:rowOff>
    </xdr:to>
    <xdr:sp macro="" textlink="">
      <xdr:nvSpPr>
        <xdr:cNvPr id="76" name="Right Arrow 75">
          <a:extLst>
            <a:ext uri="{FF2B5EF4-FFF2-40B4-BE49-F238E27FC236}">
              <a16:creationId xmlns:a16="http://schemas.microsoft.com/office/drawing/2014/main" id="{66D0A185-3170-E849-986A-F5475289B84F}"/>
            </a:ext>
          </a:extLst>
        </xdr:cNvPr>
        <xdr:cNvSpPr/>
      </xdr:nvSpPr>
      <xdr:spPr>
        <a:xfrm>
          <a:off x="11214100" y="32639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632239</xdr:colOff>
      <xdr:row>11</xdr:row>
      <xdr:rowOff>259101</xdr:rowOff>
    </xdr:from>
    <xdr:to>
      <xdr:col>10</xdr:col>
      <xdr:colOff>4718</xdr:colOff>
      <xdr:row>11</xdr:row>
      <xdr:rowOff>390575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2A37BD5-B722-D34C-A718-8514C4F7D4C1}"/>
            </a:ext>
          </a:extLst>
        </xdr:cNvPr>
        <xdr:cNvCxnSpPr>
          <a:cxnSpLocks/>
          <a:stCxn id="8" idx="3"/>
          <a:endCxn id="13" idx="1"/>
        </xdr:cNvCxnSpPr>
      </xdr:nvCxnSpPr>
      <xdr:spPr>
        <a:xfrm>
          <a:off x="6982239" y="3815101"/>
          <a:ext cx="7479" cy="131474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12</xdr:col>
      <xdr:colOff>0</xdr:colOff>
      <xdr:row>11</xdr:row>
      <xdr:rowOff>257151</xdr:rowOff>
    </xdr:from>
    <xdr:to>
      <xdr:col>12</xdr:col>
      <xdr:colOff>1</xdr:colOff>
      <xdr:row>11</xdr:row>
      <xdr:rowOff>390575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B5DB148-7421-6D46-99EB-797A81F992AF}"/>
            </a:ext>
          </a:extLst>
        </xdr:cNvPr>
        <xdr:cNvCxnSpPr>
          <a:cxnSpLocks/>
          <a:stCxn id="13" idx="3"/>
          <a:endCxn id="28" idx="1"/>
        </xdr:cNvCxnSpPr>
      </xdr:nvCxnSpPr>
      <xdr:spPr>
        <a:xfrm flipV="1">
          <a:off x="8255000" y="3813151"/>
          <a:ext cx="1" cy="133424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9</xdr:col>
      <xdr:colOff>0</xdr:colOff>
      <xdr:row>8</xdr:row>
      <xdr:rowOff>12700</xdr:rowOff>
    </xdr:from>
    <xdr:to>
      <xdr:col>10</xdr:col>
      <xdr:colOff>0</xdr:colOff>
      <xdr:row>15</xdr:row>
      <xdr:rowOff>12699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329712E-639A-4240-AFB1-AD3E4559A280}"/>
            </a:ext>
          </a:extLst>
        </xdr:cNvPr>
        <xdr:cNvGrpSpPr/>
      </xdr:nvGrpSpPr>
      <xdr:grpSpPr>
        <a:xfrm>
          <a:off x="5715000" y="4076700"/>
          <a:ext cx="635000" cy="3555999"/>
          <a:chOff x="9052922" y="10123712"/>
          <a:chExt cx="2123440" cy="2153557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2F1C142-AD3C-A811-CDCD-989E5990BC90}"/>
              </a:ext>
            </a:extLst>
          </xdr:cNvPr>
          <xdr:cNvGrpSpPr/>
        </xdr:nvGrpSpPr>
        <xdr:grpSpPr>
          <a:xfrm>
            <a:off x="9052922" y="10123712"/>
            <a:ext cx="2123440" cy="2153557"/>
            <a:chOff x="2166446" y="4637853"/>
            <a:chExt cx="1951819" cy="1297469"/>
          </a:xfrm>
        </xdr:grpSpPr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BF0A72F3-19ED-C2B9-DD89-E864F2749C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183009" y="4669512"/>
              <a:ext cx="1935256" cy="1265810"/>
            </a:xfrm>
            <a:prstGeom prst="rect">
              <a:avLst/>
            </a:prstGeom>
          </xdr:spPr>
        </xdr:pic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9EE13DA2-B605-83AD-1DBA-06A0DE7A590D}"/>
                </a:ext>
              </a:extLst>
            </xdr:cNvPr>
            <xdr:cNvSpPr/>
          </xdr:nvSpPr>
          <xdr:spPr>
            <a:xfrm>
              <a:off x="2166446" y="4637853"/>
              <a:ext cx="1943332" cy="1291924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938927EE-329C-157D-0498-BF274C947C8B}"/>
              </a:ext>
            </a:extLst>
          </xdr:cNvPr>
          <xdr:cNvSpPr/>
        </xdr:nvSpPr>
        <xdr:spPr>
          <a:xfrm>
            <a:off x="9555117" y="10723338"/>
            <a:ext cx="901337" cy="96048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E</a:t>
            </a:r>
          </a:p>
        </xdr:txBody>
      </xdr:sp>
    </xdr:grpSp>
    <xdr:clientData/>
  </xdr:twoCellAnchor>
  <xdr:twoCellAnchor>
    <xdr:from>
      <xdr:col>10</xdr:col>
      <xdr:colOff>0</xdr:colOff>
      <xdr:row>9</xdr:row>
      <xdr:rowOff>203200</xdr:rowOff>
    </xdr:from>
    <xdr:to>
      <xdr:col>12</xdr:col>
      <xdr:colOff>0</xdr:colOff>
      <xdr:row>14</xdr:row>
      <xdr:rowOff>88900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4C2F61B2-9363-3048-928E-38803339857E}"/>
            </a:ext>
          </a:extLst>
        </xdr:cNvPr>
        <xdr:cNvGrpSpPr/>
      </xdr:nvGrpSpPr>
      <xdr:grpSpPr>
        <a:xfrm>
          <a:off x="6350000" y="4775200"/>
          <a:ext cx="1270000" cy="2425700"/>
          <a:chOff x="12690315" y="11131003"/>
          <a:chExt cx="2052208" cy="2359298"/>
        </a:xfrm>
      </xdr:grpSpPr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85809A1E-2AB1-4E1E-2F83-9B2609C20AF3}"/>
              </a:ext>
            </a:extLst>
          </xdr:cNvPr>
          <xdr:cNvGrpSpPr/>
        </xdr:nvGrpSpPr>
        <xdr:grpSpPr>
          <a:xfrm>
            <a:off x="12690315" y="11131003"/>
            <a:ext cx="2052208" cy="2359298"/>
            <a:chOff x="4697150" y="4663166"/>
            <a:chExt cx="1949975" cy="1266768"/>
          </a:xfrm>
        </xdr:grpSpPr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6709D8B6-5328-9F93-23C1-5E1D26C799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97150" y="466412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9ECA45DC-CE94-987E-9748-841AF89CC134}"/>
                </a:ext>
              </a:extLst>
            </xdr:cNvPr>
            <xdr:cNvSpPr/>
          </xdr:nvSpPr>
          <xdr:spPr>
            <a:xfrm>
              <a:off x="4704394" y="4663166"/>
              <a:ext cx="1942731" cy="125687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7F98919B-3624-A26E-FBC8-02828D3E029F}"/>
              </a:ext>
            </a:extLst>
          </xdr:cNvPr>
          <xdr:cNvSpPr/>
        </xdr:nvSpPr>
        <xdr:spPr>
          <a:xfrm>
            <a:off x="13302706" y="11895558"/>
            <a:ext cx="980077" cy="86648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F</a:t>
            </a:r>
          </a:p>
        </xdr:txBody>
      </xdr:sp>
    </xdr:grpSp>
    <xdr:clientData/>
  </xdr:twoCellAnchor>
  <xdr:twoCellAnchor>
    <xdr:from>
      <xdr:col>15</xdr:col>
      <xdr:colOff>16327</xdr:colOff>
      <xdr:row>8</xdr:row>
      <xdr:rowOff>127001</xdr:rowOff>
    </xdr:from>
    <xdr:to>
      <xdr:col>17</xdr:col>
      <xdr:colOff>20526</xdr:colOff>
      <xdr:row>14</xdr:row>
      <xdr:rowOff>406684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09ADEC1-A827-DA4C-9185-4A3FBB633AF6}"/>
            </a:ext>
          </a:extLst>
        </xdr:cNvPr>
        <xdr:cNvGrpSpPr/>
      </xdr:nvGrpSpPr>
      <xdr:grpSpPr>
        <a:xfrm>
          <a:off x="9541327" y="4191001"/>
          <a:ext cx="1274199" cy="3327683"/>
          <a:chOff x="398610" y="5025569"/>
          <a:chExt cx="2313215" cy="2385787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3FECF8E6-F257-1DEC-EBB7-411D20EB7B38}"/>
              </a:ext>
            </a:extLst>
          </xdr:cNvPr>
          <xdr:cNvGrpSpPr/>
        </xdr:nvGrpSpPr>
        <xdr:grpSpPr>
          <a:xfrm>
            <a:off x="398610" y="5025569"/>
            <a:ext cx="2313215" cy="2385787"/>
            <a:chOff x="1705668" y="3495864"/>
            <a:chExt cx="3091222" cy="932854"/>
          </a:xfrm>
        </xdr:grpSpPr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9CF7BCA2-C4DD-8C18-7DB6-909FCCCB33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13871" y="3496103"/>
              <a:ext cx="2902414" cy="918295"/>
            </a:xfrm>
            <a:prstGeom prst="rect">
              <a:avLst/>
            </a:prstGeom>
          </xdr:spPr>
        </xdr:pic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25B9E94-8FC3-49A6-F66A-2376278AA3E9}"/>
                </a:ext>
              </a:extLst>
            </xdr:cNvPr>
            <xdr:cNvSpPr/>
          </xdr:nvSpPr>
          <xdr:spPr>
            <a:xfrm>
              <a:off x="1705668" y="3495864"/>
              <a:ext cx="3091222" cy="93285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0D96CF-47C6-866A-1F18-7B4CCF5F37CF}"/>
              </a:ext>
            </a:extLst>
          </xdr:cNvPr>
          <xdr:cNvSpPr txBox="1"/>
        </xdr:nvSpPr>
        <xdr:spPr>
          <a:xfrm>
            <a:off x="1097642" y="5669643"/>
            <a:ext cx="807357" cy="111235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sp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13</xdr:col>
      <xdr:colOff>12700</xdr:colOff>
      <xdr:row>8</xdr:row>
      <xdr:rowOff>228600</xdr:rowOff>
    </xdr:from>
    <xdr:to>
      <xdr:col>15</xdr:col>
      <xdr:colOff>0</xdr:colOff>
      <xdr:row>14</xdr:row>
      <xdr:rowOff>283155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2B32C637-6A7D-4D40-9D44-6AD7792A3263}"/>
            </a:ext>
          </a:extLst>
        </xdr:cNvPr>
        <xdr:cNvGrpSpPr/>
      </xdr:nvGrpSpPr>
      <xdr:grpSpPr>
        <a:xfrm>
          <a:off x="8267700" y="4292600"/>
          <a:ext cx="1257300" cy="3102555"/>
          <a:chOff x="3655786" y="1115787"/>
          <a:chExt cx="1914071" cy="2458355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C03CA0D7-5048-C34B-9093-307CD807BD24}"/>
              </a:ext>
            </a:extLst>
          </xdr:cNvPr>
          <xdr:cNvGrpSpPr/>
        </xdr:nvGrpSpPr>
        <xdr:grpSpPr>
          <a:xfrm>
            <a:off x="3655786" y="1115787"/>
            <a:ext cx="1914071" cy="2458355"/>
            <a:chOff x="6198908" y="1900224"/>
            <a:chExt cx="1311025" cy="1294313"/>
          </a:xfrm>
        </xdr:grpSpPr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FB6B4FA2-04A7-64A9-7662-7088D647B5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250885"/>
            </a:xfrm>
            <a:prstGeom prst="rect">
              <a:avLst/>
            </a:prstGeom>
          </xdr:spPr>
        </xdr:pic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EC10094D-7869-1231-95B3-3EE95AC0B0F4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F3F5147D-4A3E-8B01-3EAB-540E252159F0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12</xdr:col>
      <xdr:colOff>1</xdr:colOff>
      <xdr:row>10</xdr:row>
      <xdr:rowOff>14513</xdr:rowOff>
    </xdr:from>
    <xdr:to>
      <xdr:col>13</xdr:col>
      <xdr:colOff>0</xdr:colOff>
      <xdr:row>13</xdr:row>
      <xdr:rowOff>25400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8F395067-FC94-C741-9536-E2AF303E3CAB}"/>
            </a:ext>
          </a:extLst>
        </xdr:cNvPr>
        <xdr:cNvGrpSpPr/>
      </xdr:nvGrpSpPr>
      <xdr:grpSpPr>
        <a:xfrm>
          <a:off x="7620001" y="5094513"/>
          <a:ext cx="634999" cy="1534887"/>
          <a:chOff x="486956" y="1091837"/>
          <a:chExt cx="1152433" cy="1261292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9557A177-5070-8986-6829-248FA5F0B233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348521DC-D714-F9F8-AEBE-5D46E4FCB2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12C81FFE-629F-B142-5CA6-A792D0B52431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6C4DA4AC-5669-0A5E-7037-1AA02BF8766A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17</xdr:col>
      <xdr:colOff>25401</xdr:colOff>
      <xdr:row>10</xdr:row>
      <xdr:rowOff>1</xdr:rowOff>
    </xdr:from>
    <xdr:to>
      <xdr:col>20</xdr:col>
      <xdr:colOff>12701</xdr:colOff>
      <xdr:row>12</xdr:row>
      <xdr:rowOff>500015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D0AE8F1-8961-9C46-A439-C608DB8C1BA8}"/>
            </a:ext>
          </a:extLst>
        </xdr:cNvPr>
        <xdr:cNvGrpSpPr/>
      </xdr:nvGrpSpPr>
      <xdr:grpSpPr>
        <a:xfrm>
          <a:off x="10820401" y="5080001"/>
          <a:ext cx="1892300" cy="1516014"/>
          <a:chOff x="7415704" y="5252355"/>
          <a:chExt cx="3184873" cy="2966360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24D1008-5987-7789-4170-A9A5F84123E7}"/>
              </a:ext>
            </a:extLst>
          </xdr:cNvPr>
          <xdr:cNvGrpSpPr/>
        </xdr:nvGrpSpPr>
        <xdr:grpSpPr>
          <a:xfrm>
            <a:off x="7415704" y="5252355"/>
            <a:ext cx="3184873" cy="2966360"/>
            <a:chOff x="5969000" y="3563312"/>
            <a:chExt cx="3056466" cy="926876"/>
          </a:xfrm>
        </xdr:grpSpPr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959A3750-6C8C-DA4D-CB96-14ED9E09C8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876251"/>
            </a:xfrm>
            <a:prstGeom prst="rect">
              <a:avLst/>
            </a:prstGeom>
          </xdr:spPr>
        </xdr:pic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5F177A3A-A679-160D-3DB4-18D565CB2C9C}"/>
                </a:ext>
              </a:extLst>
            </xdr:cNvPr>
            <xdr:cNvSpPr/>
          </xdr:nvSpPr>
          <xdr:spPr>
            <a:xfrm>
              <a:off x="5982239" y="3563312"/>
              <a:ext cx="3038286" cy="926876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4B17D84F-5D7A-CA24-0EE2-BD387F988BD4}"/>
              </a:ext>
            </a:extLst>
          </xdr:cNvPr>
          <xdr:cNvSpPr/>
        </xdr:nvSpPr>
        <xdr:spPr>
          <a:xfrm>
            <a:off x="8236857" y="5866530"/>
            <a:ext cx="1433286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9</xdr:col>
      <xdr:colOff>444500</xdr:colOff>
      <xdr:row>9</xdr:row>
      <xdr:rowOff>279400</xdr:rowOff>
    </xdr:from>
    <xdr:to>
      <xdr:col>10</xdr:col>
      <xdr:colOff>282222</xdr:colOff>
      <xdr:row>9</xdr:row>
      <xdr:rowOff>481948</xdr:rowOff>
    </xdr:to>
    <xdr:sp macro="" textlink="">
      <xdr:nvSpPr>
        <xdr:cNvPr id="34" name="Right Arrow 33">
          <a:extLst>
            <a:ext uri="{FF2B5EF4-FFF2-40B4-BE49-F238E27FC236}">
              <a16:creationId xmlns:a16="http://schemas.microsoft.com/office/drawing/2014/main" id="{48E783E3-8400-D542-92D8-EA3A38BCE436}"/>
            </a:ext>
          </a:extLst>
        </xdr:cNvPr>
        <xdr:cNvSpPr/>
      </xdr:nvSpPr>
      <xdr:spPr>
        <a:xfrm>
          <a:off x="6794500" y="28194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355600</xdr:colOff>
      <xdr:row>12</xdr:row>
      <xdr:rowOff>266700</xdr:rowOff>
    </xdr:from>
    <xdr:to>
      <xdr:col>12</xdr:col>
      <xdr:colOff>193322</xdr:colOff>
      <xdr:row>12</xdr:row>
      <xdr:rowOff>469248</xdr:rowOff>
    </xdr:to>
    <xdr:sp macro="" textlink="">
      <xdr:nvSpPr>
        <xdr:cNvPr id="35" name="Right Arrow 34">
          <a:extLst>
            <a:ext uri="{FF2B5EF4-FFF2-40B4-BE49-F238E27FC236}">
              <a16:creationId xmlns:a16="http://schemas.microsoft.com/office/drawing/2014/main" id="{7255ED04-C9E9-A745-9D40-5574D2C75A85}"/>
            </a:ext>
          </a:extLst>
        </xdr:cNvPr>
        <xdr:cNvSpPr/>
      </xdr:nvSpPr>
      <xdr:spPr>
        <a:xfrm>
          <a:off x="7975600" y="43307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444500</xdr:colOff>
      <xdr:row>10</xdr:row>
      <xdr:rowOff>50800</xdr:rowOff>
    </xdr:from>
    <xdr:to>
      <xdr:col>13</xdr:col>
      <xdr:colOff>282222</xdr:colOff>
      <xdr:row>10</xdr:row>
      <xdr:rowOff>253348</xdr:rowOff>
    </xdr:to>
    <xdr:sp macro="" textlink="">
      <xdr:nvSpPr>
        <xdr:cNvPr id="36" name="Right Arrow 35">
          <a:extLst>
            <a:ext uri="{FF2B5EF4-FFF2-40B4-BE49-F238E27FC236}">
              <a16:creationId xmlns:a16="http://schemas.microsoft.com/office/drawing/2014/main" id="{64B27E42-29F9-D241-B573-738ECD71874D}"/>
            </a:ext>
          </a:extLst>
        </xdr:cNvPr>
        <xdr:cNvSpPr/>
      </xdr:nvSpPr>
      <xdr:spPr>
        <a:xfrm>
          <a:off x="8699500" y="30988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419100</xdr:colOff>
      <xdr:row>12</xdr:row>
      <xdr:rowOff>406400</xdr:rowOff>
    </xdr:from>
    <xdr:to>
      <xdr:col>15</xdr:col>
      <xdr:colOff>256822</xdr:colOff>
      <xdr:row>13</xdr:row>
      <xdr:rowOff>100948</xdr:rowOff>
    </xdr:to>
    <xdr:sp macro="" textlink="">
      <xdr:nvSpPr>
        <xdr:cNvPr id="37" name="Right Arrow 36">
          <a:extLst>
            <a:ext uri="{FF2B5EF4-FFF2-40B4-BE49-F238E27FC236}">
              <a16:creationId xmlns:a16="http://schemas.microsoft.com/office/drawing/2014/main" id="{9706D2EB-AAA1-7349-965E-3C38D8A1F1D0}"/>
            </a:ext>
          </a:extLst>
        </xdr:cNvPr>
        <xdr:cNvSpPr/>
      </xdr:nvSpPr>
      <xdr:spPr>
        <a:xfrm>
          <a:off x="9944100" y="44704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419100</xdr:colOff>
      <xdr:row>10</xdr:row>
      <xdr:rowOff>215900</xdr:rowOff>
    </xdr:from>
    <xdr:to>
      <xdr:col>17</xdr:col>
      <xdr:colOff>256822</xdr:colOff>
      <xdr:row>10</xdr:row>
      <xdr:rowOff>418448</xdr:rowOff>
    </xdr:to>
    <xdr:sp macro="" textlink="">
      <xdr:nvSpPr>
        <xdr:cNvPr id="38" name="Right Arrow 37">
          <a:extLst>
            <a:ext uri="{FF2B5EF4-FFF2-40B4-BE49-F238E27FC236}">
              <a16:creationId xmlns:a16="http://schemas.microsoft.com/office/drawing/2014/main" id="{10366027-6333-A645-BBCB-CB9E2AE386AF}"/>
            </a:ext>
          </a:extLst>
        </xdr:cNvPr>
        <xdr:cNvSpPr/>
      </xdr:nvSpPr>
      <xdr:spPr>
        <a:xfrm>
          <a:off x="11214100" y="32639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632239</xdr:colOff>
      <xdr:row>17</xdr:row>
      <xdr:rowOff>259101</xdr:rowOff>
    </xdr:from>
    <xdr:to>
      <xdr:col>7</xdr:col>
      <xdr:colOff>4718</xdr:colOff>
      <xdr:row>17</xdr:row>
      <xdr:rowOff>390575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5EEA378E-8877-8442-8926-D18A73ECDAD7}"/>
            </a:ext>
          </a:extLst>
        </xdr:cNvPr>
        <xdr:cNvCxnSpPr>
          <a:cxnSpLocks/>
          <a:stCxn id="43" idx="3"/>
          <a:endCxn id="48" idx="1"/>
        </xdr:cNvCxnSpPr>
      </xdr:nvCxnSpPr>
      <xdr:spPr>
        <a:xfrm>
          <a:off x="6347239" y="5847101"/>
          <a:ext cx="7479" cy="131474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9</xdr:col>
      <xdr:colOff>0</xdr:colOff>
      <xdr:row>17</xdr:row>
      <xdr:rowOff>257151</xdr:rowOff>
    </xdr:from>
    <xdr:to>
      <xdr:col>9</xdr:col>
      <xdr:colOff>1</xdr:colOff>
      <xdr:row>17</xdr:row>
      <xdr:rowOff>390575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7A93EE93-8F4F-9D46-BC7A-C61B15E83029}"/>
            </a:ext>
          </a:extLst>
        </xdr:cNvPr>
        <xdr:cNvCxnSpPr>
          <a:cxnSpLocks/>
          <a:stCxn id="48" idx="3"/>
          <a:endCxn id="63" idx="1"/>
        </xdr:cNvCxnSpPr>
      </xdr:nvCxnSpPr>
      <xdr:spPr>
        <a:xfrm flipV="1">
          <a:off x="7620000" y="5845151"/>
          <a:ext cx="1" cy="133424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6</xdr:col>
      <xdr:colOff>0</xdr:colOff>
      <xdr:row>14</xdr:row>
      <xdr:rowOff>12700</xdr:rowOff>
    </xdr:from>
    <xdr:to>
      <xdr:col>7</xdr:col>
      <xdr:colOff>0</xdr:colOff>
      <xdr:row>21</xdr:row>
      <xdr:rowOff>12699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C5C3C50A-8D5C-7C40-9F8D-8C44BABA31A7}"/>
            </a:ext>
          </a:extLst>
        </xdr:cNvPr>
        <xdr:cNvGrpSpPr/>
      </xdr:nvGrpSpPr>
      <xdr:grpSpPr>
        <a:xfrm>
          <a:off x="3810000" y="7124700"/>
          <a:ext cx="635000" cy="3555999"/>
          <a:chOff x="9052922" y="10123712"/>
          <a:chExt cx="2123440" cy="2153557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1B1C61B7-059F-A9D3-10F7-CEB6939EDA9E}"/>
              </a:ext>
            </a:extLst>
          </xdr:cNvPr>
          <xdr:cNvGrpSpPr/>
        </xdr:nvGrpSpPr>
        <xdr:grpSpPr>
          <a:xfrm>
            <a:off x="9052922" y="10123712"/>
            <a:ext cx="2123440" cy="2153557"/>
            <a:chOff x="2166446" y="4637853"/>
            <a:chExt cx="1951819" cy="1297469"/>
          </a:xfrm>
        </xdr:grpSpPr>
        <xdr:pic>
          <xdr:nvPicPr>
            <xdr:cNvPr id="42" name="Picture 41">
              <a:extLst>
                <a:ext uri="{FF2B5EF4-FFF2-40B4-BE49-F238E27FC236}">
                  <a16:creationId xmlns:a16="http://schemas.microsoft.com/office/drawing/2014/main" id="{805FBEE0-0C6F-6961-BA28-41C9E3CE13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183009" y="4669512"/>
              <a:ext cx="1935256" cy="1265810"/>
            </a:xfrm>
            <a:prstGeom prst="rect">
              <a:avLst/>
            </a:prstGeom>
          </xdr:spPr>
        </xdr:pic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CAF2A0CF-A93E-12EE-931F-F5DED0388E71}"/>
                </a:ext>
              </a:extLst>
            </xdr:cNvPr>
            <xdr:cNvSpPr/>
          </xdr:nvSpPr>
          <xdr:spPr>
            <a:xfrm>
              <a:off x="2166446" y="4637853"/>
              <a:ext cx="1943332" cy="1291924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BBA5DF00-EC3D-8EDD-AF6F-D97A34A1A09C}"/>
              </a:ext>
            </a:extLst>
          </xdr:cNvPr>
          <xdr:cNvSpPr/>
        </xdr:nvSpPr>
        <xdr:spPr>
          <a:xfrm>
            <a:off x="9555117" y="10723338"/>
            <a:ext cx="901337" cy="96048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E</a:t>
            </a:r>
          </a:p>
        </xdr:txBody>
      </xdr:sp>
    </xdr:grpSp>
    <xdr:clientData/>
  </xdr:twoCellAnchor>
  <xdr:twoCellAnchor>
    <xdr:from>
      <xdr:col>7</xdr:col>
      <xdr:colOff>0</xdr:colOff>
      <xdr:row>15</xdr:row>
      <xdr:rowOff>203200</xdr:rowOff>
    </xdr:from>
    <xdr:to>
      <xdr:col>9</xdr:col>
      <xdr:colOff>0</xdr:colOff>
      <xdr:row>20</xdr:row>
      <xdr:rowOff>88900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9352D79B-CB72-4842-B9B8-4DFC80462529}"/>
            </a:ext>
          </a:extLst>
        </xdr:cNvPr>
        <xdr:cNvGrpSpPr/>
      </xdr:nvGrpSpPr>
      <xdr:grpSpPr>
        <a:xfrm>
          <a:off x="4445000" y="7823200"/>
          <a:ext cx="1270000" cy="2425700"/>
          <a:chOff x="12690315" y="11131003"/>
          <a:chExt cx="2052208" cy="2359298"/>
        </a:xfrm>
      </xdr:grpSpPr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3F7A54F5-0C17-9D23-4287-5061C98FFC53}"/>
              </a:ext>
            </a:extLst>
          </xdr:cNvPr>
          <xdr:cNvGrpSpPr/>
        </xdr:nvGrpSpPr>
        <xdr:grpSpPr>
          <a:xfrm>
            <a:off x="12690315" y="11131003"/>
            <a:ext cx="2052208" cy="2359298"/>
            <a:chOff x="4697150" y="4663166"/>
            <a:chExt cx="1949975" cy="1266768"/>
          </a:xfrm>
        </xdr:grpSpPr>
        <xdr:pic>
          <xdr:nvPicPr>
            <xdr:cNvPr id="47" name="Picture 46">
              <a:extLst>
                <a:ext uri="{FF2B5EF4-FFF2-40B4-BE49-F238E27FC236}">
                  <a16:creationId xmlns:a16="http://schemas.microsoft.com/office/drawing/2014/main" id="{2050DE7D-C515-64D6-048D-8BBCEFEE2F2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697150" y="466412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119B93E8-F690-8FC7-F6E7-0D99EED5701E}"/>
                </a:ext>
              </a:extLst>
            </xdr:cNvPr>
            <xdr:cNvSpPr/>
          </xdr:nvSpPr>
          <xdr:spPr>
            <a:xfrm>
              <a:off x="4704394" y="4663166"/>
              <a:ext cx="1942731" cy="125687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5FAC38AE-E90C-2080-ACFE-A564260C10A4}"/>
              </a:ext>
            </a:extLst>
          </xdr:cNvPr>
          <xdr:cNvSpPr/>
        </xdr:nvSpPr>
        <xdr:spPr>
          <a:xfrm>
            <a:off x="13302706" y="11895558"/>
            <a:ext cx="980077" cy="86648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F</a:t>
            </a:r>
          </a:p>
        </xdr:txBody>
      </xdr:sp>
    </xdr:grpSp>
    <xdr:clientData/>
  </xdr:twoCellAnchor>
  <xdr:twoCellAnchor>
    <xdr:from>
      <xdr:col>12</xdr:col>
      <xdr:colOff>16327</xdr:colOff>
      <xdr:row>14</xdr:row>
      <xdr:rowOff>127001</xdr:rowOff>
    </xdr:from>
    <xdr:to>
      <xdr:col>14</xdr:col>
      <xdr:colOff>20526</xdr:colOff>
      <xdr:row>20</xdr:row>
      <xdr:rowOff>406684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750FA4E7-AB21-2B47-A484-6B8A8E1FBAC9}"/>
            </a:ext>
          </a:extLst>
        </xdr:cNvPr>
        <xdr:cNvGrpSpPr/>
      </xdr:nvGrpSpPr>
      <xdr:grpSpPr>
        <a:xfrm>
          <a:off x="7636327" y="7239001"/>
          <a:ext cx="1274199" cy="3327683"/>
          <a:chOff x="398610" y="5025569"/>
          <a:chExt cx="2313215" cy="2385787"/>
        </a:xfrm>
      </xdr:grpSpPr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C7E570B5-18EA-F2C9-F4C7-BFB4D84D9E50}"/>
              </a:ext>
            </a:extLst>
          </xdr:cNvPr>
          <xdr:cNvGrpSpPr/>
        </xdr:nvGrpSpPr>
        <xdr:grpSpPr>
          <a:xfrm>
            <a:off x="398610" y="5025569"/>
            <a:ext cx="2313215" cy="2385787"/>
            <a:chOff x="1705668" y="3495864"/>
            <a:chExt cx="3091222" cy="932854"/>
          </a:xfrm>
        </xdr:grpSpPr>
        <xdr:pic>
          <xdr:nvPicPr>
            <xdr:cNvPr id="52" name="Picture 51">
              <a:extLst>
                <a:ext uri="{FF2B5EF4-FFF2-40B4-BE49-F238E27FC236}">
                  <a16:creationId xmlns:a16="http://schemas.microsoft.com/office/drawing/2014/main" id="{D4419847-4F69-B5AA-0A0D-C404BF8A1C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13871" y="3496103"/>
              <a:ext cx="2902414" cy="918295"/>
            </a:xfrm>
            <a:prstGeom prst="rect">
              <a:avLst/>
            </a:prstGeom>
          </xdr:spPr>
        </xdr:pic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498DB3FD-D951-5770-0AF2-2CED10731D12}"/>
                </a:ext>
              </a:extLst>
            </xdr:cNvPr>
            <xdr:cNvSpPr/>
          </xdr:nvSpPr>
          <xdr:spPr>
            <a:xfrm>
              <a:off x="1705668" y="3495864"/>
              <a:ext cx="3091222" cy="93285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28585F72-4606-873A-DE55-0980C9618F7D}"/>
              </a:ext>
            </a:extLst>
          </xdr:cNvPr>
          <xdr:cNvSpPr txBox="1"/>
        </xdr:nvSpPr>
        <xdr:spPr>
          <a:xfrm>
            <a:off x="1097642" y="5669643"/>
            <a:ext cx="807357" cy="111235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sp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10</xdr:col>
      <xdr:colOff>12700</xdr:colOff>
      <xdr:row>14</xdr:row>
      <xdr:rowOff>228600</xdr:rowOff>
    </xdr:from>
    <xdr:to>
      <xdr:col>12</xdr:col>
      <xdr:colOff>0</xdr:colOff>
      <xdr:row>20</xdr:row>
      <xdr:rowOff>283155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584EEB95-BFF8-8A42-9DCA-8223099A4C4D}"/>
            </a:ext>
          </a:extLst>
        </xdr:cNvPr>
        <xdr:cNvGrpSpPr/>
      </xdr:nvGrpSpPr>
      <xdr:grpSpPr>
        <a:xfrm>
          <a:off x="6362700" y="7340600"/>
          <a:ext cx="1257300" cy="3102555"/>
          <a:chOff x="3655786" y="1115787"/>
          <a:chExt cx="1914071" cy="2458355"/>
        </a:xfrm>
      </xdr:grpSpPr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86762257-E889-BCF5-6477-55ECDF6B1672}"/>
              </a:ext>
            </a:extLst>
          </xdr:cNvPr>
          <xdr:cNvGrpSpPr/>
        </xdr:nvGrpSpPr>
        <xdr:grpSpPr>
          <a:xfrm>
            <a:off x="3655786" y="1115787"/>
            <a:ext cx="1914071" cy="2458355"/>
            <a:chOff x="6198908" y="1900224"/>
            <a:chExt cx="1311025" cy="1294313"/>
          </a:xfrm>
        </xdr:grpSpPr>
        <xdr:pic>
          <xdr:nvPicPr>
            <xdr:cNvPr id="57" name="Picture 56">
              <a:extLst>
                <a:ext uri="{FF2B5EF4-FFF2-40B4-BE49-F238E27FC236}">
                  <a16:creationId xmlns:a16="http://schemas.microsoft.com/office/drawing/2014/main" id="{14405B5E-E3FB-36D1-1E95-FB4EFDFDE1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206067" y="1904999"/>
              <a:ext cx="1303866" cy="1250885"/>
            </a:xfrm>
            <a:prstGeom prst="rect">
              <a:avLst/>
            </a:prstGeom>
          </xdr:spPr>
        </xdr:pic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9FCF5496-F382-A74F-C256-D9A4ECE2FB54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0CA43B65-4EE3-7AE7-5B13-7CCF96D1A973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9</xdr:col>
      <xdr:colOff>1</xdr:colOff>
      <xdr:row>16</xdr:row>
      <xdr:rowOff>14513</xdr:rowOff>
    </xdr:from>
    <xdr:to>
      <xdr:col>10</xdr:col>
      <xdr:colOff>0</xdr:colOff>
      <xdr:row>19</xdr:row>
      <xdr:rowOff>25400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C46B36BB-BE8E-C14D-AFA0-6D81E3703C1B}"/>
            </a:ext>
          </a:extLst>
        </xdr:cNvPr>
        <xdr:cNvGrpSpPr/>
      </xdr:nvGrpSpPr>
      <xdr:grpSpPr>
        <a:xfrm>
          <a:off x="5715001" y="8142513"/>
          <a:ext cx="634999" cy="1534887"/>
          <a:chOff x="486956" y="1091837"/>
          <a:chExt cx="1152433" cy="1261292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C139737A-503A-133D-13DC-EEC03D4C28B5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62" name="Picture 61">
              <a:extLst>
                <a:ext uri="{FF2B5EF4-FFF2-40B4-BE49-F238E27FC236}">
                  <a16:creationId xmlns:a16="http://schemas.microsoft.com/office/drawing/2014/main" id="{4CA23BE3-7BEE-8BC6-FF3C-78D4A83E58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0668A9ED-3390-AC37-F4BD-006D59A9AF26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0C976960-76DC-E452-6E49-C59CD178C3BA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14</xdr:col>
      <xdr:colOff>25401</xdr:colOff>
      <xdr:row>16</xdr:row>
      <xdr:rowOff>1</xdr:rowOff>
    </xdr:from>
    <xdr:to>
      <xdr:col>17</xdr:col>
      <xdr:colOff>12701</xdr:colOff>
      <xdr:row>18</xdr:row>
      <xdr:rowOff>500015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3434A63D-D963-3F4F-B4B4-69573E3F9DAC}"/>
            </a:ext>
          </a:extLst>
        </xdr:cNvPr>
        <xdr:cNvGrpSpPr/>
      </xdr:nvGrpSpPr>
      <xdr:grpSpPr>
        <a:xfrm>
          <a:off x="8915401" y="8128001"/>
          <a:ext cx="1892300" cy="1516014"/>
          <a:chOff x="7415704" y="5252355"/>
          <a:chExt cx="3184873" cy="2966360"/>
        </a:xfrm>
      </xdr:grpSpPr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EDE2A485-CD3E-2D16-5C9C-2DCA27E60CD0}"/>
              </a:ext>
            </a:extLst>
          </xdr:cNvPr>
          <xdr:cNvGrpSpPr/>
        </xdr:nvGrpSpPr>
        <xdr:grpSpPr>
          <a:xfrm>
            <a:off x="7415704" y="5252355"/>
            <a:ext cx="3184873" cy="2966360"/>
            <a:chOff x="5969000" y="3563312"/>
            <a:chExt cx="3056466" cy="926876"/>
          </a:xfrm>
        </xdr:grpSpPr>
        <xdr:pic>
          <xdr:nvPicPr>
            <xdr:cNvPr id="67" name="Picture 66">
              <a:extLst>
                <a:ext uri="{FF2B5EF4-FFF2-40B4-BE49-F238E27FC236}">
                  <a16:creationId xmlns:a16="http://schemas.microsoft.com/office/drawing/2014/main" id="{FA7931FC-1F1B-20C6-3FA1-DC161A2E73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876251"/>
            </a:xfrm>
            <a:prstGeom prst="rect">
              <a:avLst/>
            </a:prstGeom>
          </xdr:spPr>
        </xdr:pic>
        <xdr:sp macro="" textlink="">
          <xdr:nvSpPr>
            <xdr:cNvPr id="68" name="Rectangle 67">
              <a:extLst>
                <a:ext uri="{FF2B5EF4-FFF2-40B4-BE49-F238E27FC236}">
                  <a16:creationId xmlns:a16="http://schemas.microsoft.com/office/drawing/2014/main" id="{DBF6AAA5-A06A-28F7-7F40-EF7E7AF812DE}"/>
                </a:ext>
              </a:extLst>
            </xdr:cNvPr>
            <xdr:cNvSpPr/>
          </xdr:nvSpPr>
          <xdr:spPr>
            <a:xfrm>
              <a:off x="5982239" y="3563312"/>
              <a:ext cx="3038286" cy="926876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6776EB0C-A72D-9173-C67F-8F1ED56C98E8}"/>
              </a:ext>
            </a:extLst>
          </xdr:cNvPr>
          <xdr:cNvSpPr/>
        </xdr:nvSpPr>
        <xdr:spPr>
          <a:xfrm>
            <a:off x="8236857" y="5866530"/>
            <a:ext cx="1433286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6</xdr:col>
      <xdr:colOff>444500</xdr:colOff>
      <xdr:row>15</xdr:row>
      <xdr:rowOff>279400</xdr:rowOff>
    </xdr:from>
    <xdr:to>
      <xdr:col>7</xdr:col>
      <xdr:colOff>282222</xdr:colOff>
      <xdr:row>15</xdr:row>
      <xdr:rowOff>481948</xdr:rowOff>
    </xdr:to>
    <xdr:sp macro="" textlink="">
      <xdr:nvSpPr>
        <xdr:cNvPr id="69" name="Right Arrow 68">
          <a:extLst>
            <a:ext uri="{FF2B5EF4-FFF2-40B4-BE49-F238E27FC236}">
              <a16:creationId xmlns:a16="http://schemas.microsoft.com/office/drawing/2014/main" id="{9516E433-E870-554C-B1A1-2E3CACB125EA}"/>
            </a:ext>
          </a:extLst>
        </xdr:cNvPr>
        <xdr:cNvSpPr/>
      </xdr:nvSpPr>
      <xdr:spPr>
        <a:xfrm>
          <a:off x="6159500" y="48514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355600</xdr:colOff>
      <xdr:row>18</xdr:row>
      <xdr:rowOff>266700</xdr:rowOff>
    </xdr:from>
    <xdr:to>
      <xdr:col>9</xdr:col>
      <xdr:colOff>193322</xdr:colOff>
      <xdr:row>18</xdr:row>
      <xdr:rowOff>469248</xdr:rowOff>
    </xdr:to>
    <xdr:sp macro="" textlink="">
      <xdr:nvSpPr>
        <xdr:cNvPr id="70" name="Right Arrow 69">
          <a:extLst>
            <a:ext uri="{FF2B5EF4-FFF2-40B4-BE49-F238E27FC236}">
              <a16:creationId xmlns:a16="http://schemas.microsoft.com/office/drawing/2014/main" id="{FC0ABFD8-880F-CF43-9E70-EAFE936B3070}"/>
            </a:ext>
          </a:extLst>
        </xdr:cNvPr>
        <xdr:cNvSpPr/>
      </xdr:nvSpPr>
      <xdr:spPr>
        <a:xfrm>
          <a:off x="7340600" y="63627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444500</xdr:colOff>
      <xdr:row>16</xdr:row>
      <xdr:rowOff>50800</xdr:rowOff>
    </xdr:from>
    <xdr:to>
      <xdr:col>10</xdr:col>
      <xdr:colOff>282222</xdr:colOff>
      <xdr:row>16</xdr:row>
      <xdr:rowOff>253348</xdr:rowOff>
    </xdr:to>
    <xdr:sp macro="" textlink="">
      <xdr:nvSpPr>
        <xdr:cNvPr id="71" name="Right Arrow 70">
          <a:extLst>
            <a:ext uri="{FF2B5EF4-FFF2-40B4-BE49-F238E27FC236}">
              <a16:creationId xmlns:a16="http://schemas.microsoft.com/office/drawing/2014/main" id="{B300142B-ABC8-F247-B338-1288D4255441}"/>
            </a:ext>
          </a:extLst>
        </xdr:cNvPr>
        <xdr:cNvSpPr/>
      </xdr:nvSpPr>
      <xdr:spPr>
        <a:xfrm>
          <a:off x="8064500" y="51308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419100</xdr:colOff>
      <xdr:row>18</xdr:row>
      <xdr:rowOff>406400</xdr:rowOff>
    </xdr:from>
    <xdr:to>
      <xdr:col>12</xdr:col>
      <xdr:colOff>256822</xdr:colOff>
      <xdr:row>19</xdr:row>
      <xdr:rowOff>100948</xdr:rowOff>
    </xdr:to>
    <xdr:sp macro="" textlink="">
      <xdr:nvSpPr>
        <xdr:cNvPr id="72" name="Right Arrow 71">
          <a:extLst>
            <a:ext uri="{FF2B5EF4-FFF2-40B4-BE49-F238E27FC236}">
              <a16:creationId xmlns:a16="http://schemas.microsoft.com/office/drawing/2014/main" id="{1DE10913-D8E4-9D4B-B89F-FCC6AD682DD4}"/>
            </a:ext>
          </a:extLst>
        </xdr:cNvPr>
        <xdr:cNvSpPr/>
      </xdr:nvSpPr>
      <xdr:spPr>
        <a:xfrm>
          <a:off x="9309100" y="65024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16</xdr:row>
      <xdr:rowOff>215900</xdr:rowOff>
    </xdr:from>
    <xdr:to>
      <xdr:col>14</xdr:col>
      <xdr:colOff>256822</xdr:colOff>
      <xdr:row>16</xdr:row>
      <xdr:rowOff>418448</xdr:rowOff>
    </xdr:to>
    <xdr:sp macro="" textlink="">
      <xdr:nvSpPr>
        <xdr:cNvPr id="73" name="Right Arrow 72">
          <a:extLst>
            <a:ext uri="{FF2B5EF4-FFF2-40B4-BE49-F238E27FC236}">
              <a16:creationId xmlns:a16="http://schemas.microsoft.com/office/drawing/2014/main" id="{B30C445C-3FCF-894F-B2C5-E1D5C9DDB0D9}"/>
            </a:ext>
          </a:extLst>
        </xdr:cNvPr>
        <xdr:cNvSpPr/>
      </xdr:nvSpPr>
      <xdr:spPr>
        <a:xfrm>
          <a:off x="10579100" y="52959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BAF0-78F0-6F4B-BA14-C26D135F90AF}">
  <dimension ref="C1:AB16"/>
  <sheetViews>
    <sheetView showGridLines="0" zoomScale="110" zoomScaleNormal="110" workbookViewId="0">
      <selection activeCell="D4" sqref="D4:P16"/>
    </sheetView>
  </sheetViews>
  <sheetFormatPr baseColWidth="10" defaultColWidth="6" defaultRowHeight="25" customHeight="1" x14ac:dyDescent="0.2"/>
  <cols>
    <col min="20" max="21" width="6" style="4"/>
    <col min="22" max="22" width="19" style="4" bestFit="1" customWidth="1"/>
    <col min="23" max="23" width="9" style="4" bestFit="1" customWidth="1"/>
    <col min="24" max="24" width="7.5" style="4" bestFit="1" customWidth="1"/>
    <col min="25" max="25" width="12.1640625" style="4" bestFit="1" customWidth="1"/>
    <col min="26" max="28" width="6" style="4"/>
  </cols>
  <sheetData>
    <row r="1" spans="3:28" ht="27" customHeight="1" x14ac:dyDescent="0.2"/>
    <row r="3" spans="3:28" ht="25" customHeight="1" x14ac:dyDescent="0.2">
      <c r="C3" s="1"/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</row>
    <row r="4" spans="3:28" ht="25" customHeight="1" x14ac:dyDescent="0.2">
      <c r="C4" s="1" t="s">
        <v>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T4" s="5"/>
      <c r="U4" s="6"/>
      <c r="V4" s="6"/>
      <c r="W4" s="7" t="s">
        <v>13</v>
      </c>
      <c r="X4" s="6">
        <f>SUM(D4:P16)</f>
        <v>69230.769230769001</v>
      </c>
      <c r="Y4" s="6"/>
      <c r="Z4" s="6"/>
      <c r="AA4" s="6"/>
      <c r="AB4" s="6"/>
    </row>
    <row r="5" spans="3:28" ht="25" customHeight="1" x14ac:dyDescent="0.2">
      <c r="C5" s="1" t="s">
        <v>1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T5" s="6"/>
      <c r="U5" s="6"/>
      <c r="V5" s="6"/>
      <c r="W5" s="6"/>
      <c r="X5" s="6"/>
      <c r="Y5" s="7" t="s">
        <v>14</v>
      </c>
      <c r="Z5" s="7" t="s">
        <v>15</v>
      </c>
      <c r="AA5" s="6"/>
      <c r="AB5" s="6"/>
    </row>
    <row r="6" spans="3:28" ht="25" customHeight="1" x14ac:dyDescent="0.2">
      <c r="C6" s="1" t="s">
        <v>2</v>
      </c>
      <c r="D6" s="26"/>
      <c r="E6" s="26"/>
      <c r="F6" s="26"/>
      <c r="G6" s="42">
        <v>13846.1538461538</v>
      </c>
      <c r="H6" s="26"/>
      <c r="I6" s="26"/>
      <c r="J6" s="26"/>
      <c r="K6" s="26"/>
      <c r="L6" s="26"/>
      <c r="M6" s="26"/>
      <c r="N6" s="26"/>
      <c r="O6" s="26"/>
      <c r="P6" s="26"/>
      <c r="T6" s="8" t="s">
        <v>45</v>
      </c>
      <c r="U6" s="8"/>
      <c r="V6" s="8" t="s">
        <v>16</v>
      </c>
      <c r="W6" s="8"/>
      <c r="X6" s="8">
        <f>G6</f>
        <v>13846.1538461538</v>
      </c>
      <c r="Y6" s="9">
        <f>X6/$X$4</f>
        <v>0.2</v>
      </c>
      <c r="Z6" s="10">
        <f>Y6</f>
        <v>0.2</v>
      </c>
      <c r="AA6" s="32"/>
      <c r="AB6" s="33"/>
    </row>
    <row r="7" spans="3:28" ht="25" customHeight="1" x14ac:dyDescent="0.2">
      <c r="C7" s="1" t="s">
        <v>3</v>
      </c>
      <c r="D7" s="26"/>
      <c r="E7" s="26"/>
      <c r="F7" s="26"/>
      <c r="G7" s="26"/>
      <c r="H7" s="26"/>
      <c r="I7" s="26"/>
      <c r="J7" s="26"/>
      <c r="K7" s="26"/>
      <c r="L7" s="42">
        <v>13846.1538461538</v>
      </c>
      <c r="M7" s="26"/>
      <c r="N7" s="26"/>
      <c r="O7" s="26"/>
      <c r="P7" s="26"/>
      <c r="T7" s="8" t="s">
        <v>46</v>
      </c>
      <c r="U7" s="8"/>
      <c r="V7" s="8" t="s">
        <v>16</v>
      </c>
      <c r="W7" s="8"/>
      <c r="X7" s="8">
        <f>L7</f>
        <v>13846.1538461538</v>
      </c>
      <c r="Y7" s="9">
        <f>X7/$X$4</f>
        <v>0.2</v>
      </c>
      <c r="Z7" s="10">
        <f>Y7</f>
        <v>0.2</v>
      </c>
      <c r="AA7" s="32"/>
      <c r="AB7" s="33"/>
    </row>
    <row r="8" spans="3:28" ht="25" customHeight="1" x14ac:dyDescent="0.2">
      <c r="C8" s="1" t="s">
        <v>4</v>
      </c>
      <c r="D8" s="26"/>
      <c r="E8" s="26"/>
      <c r="F8" s="26"/>
      <c r="G8" s="26"/>
      <c r="H8" s="26"/>
      <c r="I8" s="42">
        <v>13846.1538461538</v>
      </c>
      <c r="J8" s="26"/>
      <c r="K8" s="26"/>
      <c r="L8" s="26"/>
      <c r="M8" s="26"/>
      <c r="N8" s="26"/>
      <c r="O8" s="26"/>
      <c r="P8" s="26"/>
      <c r="T8" s="8" t="s">
        <v>41</v>
      </c>
      <c r="U8" s="8"/>
      <c r="V8" s="8" t="s">
        <v>16</v>
      </c>
      <c r="W8" s="8"/>
      <c r="X8" s="8">
        <f>I8</f>
        <v>13846.1538461538</v>
      </c>
      <c r="Y8" s="9">
        <f>X8/$X$4</f>
        <v>0.2</v>
      </c>
      <c r="Z8" s="10">
        <f>Y8</f>
        <v>0.2</v>
      </c>
      <c r="AA8" s="32"/>
      <c r="AB8" s="33"/>
    </row>
    <row r="9" spans="3:28" ht="25" customHeight="1" x14ac:dyDescent="0.2">
      <c r="C9" s="1" t="s">
        <v>5</v>
      </c>
      <c r="D9" s="26"/>
      <c r="E9" s="26"/>
      <c r="F9" s="42">
        <v>13846.1538461538</v>
      </c>
      <c r="G9" s="26"/>
      <c r="H9" s="26"/>
      <c r="I9" s="26"/>
      <c r="J9" s="26"/>
      <c r="K9" s="26"/>
      <c r="L9" s="26"/>
      <c r="M9" s="26"/>
      <c r="N9" s="26"/>
      <c r="O9" s="26"/>
      <c r="P9" s="26"/>
      <c r="T9" s="8" t="s">
        <v>44</v>
      </c>
      <c r="U9" s="8"/>
      <c r="V9" s="8" t="s">
        <v>16</v>
      </c>
      <c r="W9" s="8"/>
      <c r="X9" s="8">
        <f>F9</f>
        <v>13846.1538461538</v>
      </c>
      <c r="Y9" s="9">
        <f>X9/$X$4</f>
        <v>0.2</v>
      </c>
      <c r="Z9" s="10">
        <f>Y9</f>
        <v>0.2</v>
      </c>
      <c r="AA9" s="32"/>
      <c r="AB9" s="33"/>
    </row>
    <row r="10" spans="3:28" ht="25" customHeight="1" x14ac:dyDescent="0.2">
      <c r="C10" s="1" t="s">
        <v>6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T10" s="8" t="s">
        <v>43</v>
      </c>
      <c r="U10" s="8"/>
      <c r="V10" s="8" t="s">
        <v>16</v>
      </c>
      <c r="W10" s="8"/>
      <c r="X10" s="8">
        <f>M12</f>
        <v>13846.1538461538</v>
      </c>
      <c r="Y10" s="9">
        <f>X10/$X$4</f>
        <v>0.2</v>
      </c>
      <c r="Z10" s="10">
        <f>Y10</f>
        <v>0.2</v>
      </c>
      <c r="AA10" s="43"/>
      <c r="AB10" s="44"/>
    </row>
    <row r="11" spans="3:28" ht="25" customHeight="1" x14ac:dyDescent="0.2">
      <c r="C11" s="1" t="s">
        <v>7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T11"/>
      <c r="U11"/>
      <c r="V11"/>
      <c r="W11"/>
      <c r="X11"/>
      <c r="Y11"/>
      <c r="Z11"/>
      <c r="AA11"/>
      <c r="AB11"/>
    </row>
    <row r="12" spans="3:28" ht="25" customHeight="1" x14ac:dyDescent="0.2">
      <c r="C12" s="1" t="s">
        <v>8</v>
      </c>
      <c r="D12" s="26"/>
      <c r="E12" s="26"/>
      <c r="F12" s="26"/>
      <c r="G12" s="26"/>
      <c r="H12" s="26"/>
      <c r="I12" s="26"/>
      <c r="J12" s="26"/>
      <c r="K12" s="26"/>
      <c r="L12" s="26"/>
      <c r="M12" s="42">
        <v>13846.1538461538</v>
      </c>
      <c r="N12" s="26"/>
      <c r="O12" s="26"/>
      <c r="P12" s="26"/>
    </row>
    <row r="13" spans="3:28" ht="25" customHeight="1" x14ac:dyDescent="0.2">
      <c r="C13" s="1" t="s">
        <v>9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3:28" ht="25" customHeight="1" x14ac:dyDescent="0.2">
      <c r="C14" s="1" t="s">
        <v>10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3:28" ht="25" customHeight="1" x14ac:dyDescent="0.2">
      <c r="C15" s="1" t="s">
        <v>11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3:28" ht="25" customHeight="1" x14ac:dyDescent="0.2">
      <c r="C16" s="1" t="s">
        <v>12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0013-D7CD-BA40-B1E7-F0FA2D18A6E1}">
  <dimension ref="B8:K17"/>
  <sheetViews>
    <sheetView showGridLines="0" workbookViewId="0">
      <selection activeCell="I17" sqref="I17"/>
    </sheetView>
  </sheetViews>
  <sheetFormatPr baseColWidth="10" defaultRowHeight="16" x14ac:dyDescent="0.2"/>
  <cols>
    <col min="8" max="8" width="11.6640625" bestFit="1" customWidth="1"/>
    <col min="10" max="10" width="14" bestFit="1" customWidth="1"/>
  </cols>
  <sheetData>
    <row r="8" spans="2:11" x14ac:dyDescent="0.2">
      <c r="B8" s="2" t="s">
        <v>25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 t="s">
        <v>26</v>
      </c>
    </row>
    <row r="9" spans="2:11" x14ac:dyDescent="0.2">
      <c r="B9" s="2" t="s">
        <v>48</v>
      </c>
      <c r="C9" s="2" t="s">
        <v>49</v>
      </c>
      <c r="D9" s="2" t="s">
        <v>50</v>
      </c>
      <c r="E9" s="2" t="s">
        <v>27</v>
      </c>
      <c r="F9" s="2" t="s">
        <v>51</v>
      </c>
      <c r="G9" s="2" t="s">
        <v>52</v>
      </c>
      <c r="H9" s="2" t="s">
        <v>53</v>
      </c>
      <c r="I9" s="2"/>
      <c r="J9" s="2">
        <v>36</v>
      </c>
    </row>
    <row r="11" spans="2:11" ht="56" x14ac:dyDescent="0.2">
      <c r="B11" s="11" t="s">
        <v>17</v>
      </c>
      <c r="C11" s="11" t="s">
        <v>18</v>
      </c>
      <c r="D11" s="11" t="s">
        <v>19</v>
      </c>
      <c r="E11" s="11" t="s">
        <v>40</v>
      </c>
      <c r="F11" s="12" t="s">
        <v>20</v>
      </c>
      <c r="G11" s="12" t="s">
        <v>21</v>
      </c>
      <c r="H11" s="11" t="s">
        <v>22</v>
      </c>
      <c r="I11" s="11" t="s">
        <v>23</v>
      </c>
      <c r="J11" s="11" t="s">
        <v>55</v>
      </c>
      <c r="K11" s="11" t="s">
        <v>56</v>
      </c>
    </row>
    <row r="12" spans="2:11" x14ac:dyDescent="0.2">
      <c r="B12" s="11" t="s">
        <v>4</v>
      </c>
      <c r="C12" s="13">
        <v>4</v>
      </c>
      <c r="D12" s="13">
        <v>0.97699999999999998</v>
      </c>
      <c r="E12" s="13" t="s">
        <v>47</v>
      </c>
      <c r="F12" s="14">
        <f>22*15</f>
        <v>330</v>
      </c>
      <c r="G12" s="27">
        <f t="shared" ref="G12:G17" si="0">F12*C12</f>
        <v>1320</v>
      </c>
      <c r="H12" s="15">
        <f>G12/I12</f>
        <v>94.285714285714292</v>
      </c>
      <c r="I12" s="15">
        <v>14</v>
      </c>
      <c r="J12" s="64">
        <f t="shared" ref="J12:K17" si="1">H12/14</f>
        <v>6.7346938775510212</v>
      </c>
      <c r="K12" s="64">
        <f t="shared" si="1"/>
        <v>1</v>
      </c>
    </row>
    <row r="13" spans="2:11" x14ac:dyDescent="0.2">
      <c r="B13" s="11" t="s">
        <v>5</v>
      </c>
      <c r="C13" s="13">
        <v>5</v>
      </c>
      <c r="D13" s="13">
        <v>0.9728</v>
      </c>
      <c r="E13" s="13" t="s">
        <v>47</v>
      </c>
      <c r="F13" s="14">
        <f>22*15</f>
        <v>330</v>
      </c>
      <c r="G13" s="27">
        <f t="shared" si="0"/>
        <v>1650</v>
      </c>
      <c r="H13" s="15">
        <f t="shared" ref="H13:H17" si="2">G13/I13</f>
        <v>58.928571428571431</v>
      </c>
      <c r="I13" s="15">
        <v>28</v>
      </c>
      <c r="J13" s="64">
        <f t="shared" si="1"/>
        <v>4.2091836734693882</v>
      </c>
      <c r="K13" s="64">
        <f t="shared" si="1"/>
        <v>2</v>
      </c>
    </row>
    <row r="14" spans="2:11" x14ac:dyDescent="0.2">
      <c r="B14" s="11" t="s">
        <v>2</v>
      </c>
      <c r="C14" s="13">
        <v>3</v>
      </c>
      <c r="D14" s="13">
        <v>0.95960000000000001</v>
      </c>
      <c r="E14" s="13" t="s">
        <v>24</v>
      </c>
      <c r="F14" s="14">
        <f>14*14</f>
        <v>196</v>
      </c>
      <c r="G14" s="25">
        <f t="shared" si="0"/>
        <v>588</v>
      </c>
      <c r="H14" s="15">
        <f t="shared" si="2"/>
        <v>42</v>
      </c>
      <c r="I14" s="15">
        <v>14</v>
      </c>
      <c r="J14" s="64">
        <f t="shared" si="1"/>
        <v>3</v>
      </c>
      <c r="K14" s="64">
        <f t="shared" si="1"/>
        <v>1</v>
      </c>
    </row>
    <row r="15" spans="2:11" x14ac:dyDescent="0.2">
      <c r="B15" s="11" t="s">
        <v>3</v>
      </c>
      <c r="C15" s="13">
        <v>12</v>
      </c>
      <c r="D15" s="13">
        <v>0.98070000000000002</v>
      </c>
      <c r="E15" s="13" t="s">
        <v>24</v>
      </c>
      <c r="F15" s="14">
        <f>14*14</f>
        <v>196</v>
      </c>
      <c r="G15" s="27">
        <f t="shared" si="0"/>
        <v>2352</v>
      </c>
      <c r="H15" s="15">
        <f t="shared" si="2"/>
        <v>84</v>
      </c>
      <c r="I15" s="15">
        <v>28</v>
      </c>
      <c r="J15" s="64">
        <f t="shared" si="1"/>
        <v>6</v>
      </c>
      <c r="K15" s="64">
        <f t="shared" si="1"/>
        <v>2</v>
      </c>
    </row>
    <row r="16" spans="2:11" x14ac:dyDescent="0.2">
      <c r="B16" s="11" t="s">
        <v>8</v>
      </c>
      <c r="C16" s="13">
        <v>5</v>
      </c>
      <c r="D16" s="13">
        <v>0.98070000000000002</v>
      </c>
      <c r="E16" s="13" t="s">
        <v>42</v>
      </c>
      <c r="F16" s="14">
        <f>14*36</f>
        <v>504</v>
      </c>
      <c r="G16" s="27">
        <f t="shared" si="0"/>
        <v>2520</v>
      </c>
      <c r="H16" s="15">
        <f t="shared" si="2"/>
        <v>90</v>
      </c>
      <c r="I16" s="15">
        <v>28</v>
      </c>
      <c r="J16" s="64">
        <f t="shared" si="1"/>
        <v>6.4285714285714288</v>
      </c>
      <c r="K16" s="64">
        <f t="shared" ref="K16:K17" si="3">I16/14</f>
        <v>2</v>
      </c>
    </row>
    <row r="17" spans="2:11" x14ac:dyDescent="0.2">
      <c r="B17" s="11" t="s">
        <v>9</v>
      </c>
      <c r="C17" s="13">
        <v>7</v>
      </c>
      <c r="D17" s="13">
        <v>0.98070000000000002</v>
      </c>
      <c r="E17" s="13" t="s">
        <v>42</v>
      </c>
      <c r="F17" s="14">
        <f>14*36</f>
        <v>504</v>
      </c>
      <c r="G17" s="25">
        <f t="shared" si="0"/>
        <v>3528</v>
      </c>
      <c r="H17" s="15">
        <f t="shared" si="2"/>
        <v>84</v>
      </c>
      <c r="I17" s="15">
        <f>14*3</f>
        <v>42</v>
      </c>
      <c r="J17" s="64">
        <f t="shared" si="1"/>
        <v>6</v>
      </c>
      <c r="K17" s="64">
        <f t="shared" si="3"/>
        <v>3</v>
      </c>
    </row>
  </sheetData>
  <conditionalFormatting sqref="G12:G17">
    <cfRule type="colorScale" priority="15">
      <colorScale>
        <cfvo type="min"/>
        <cfvo type="percentile" val="50"/>
        <cfvo type="max"/>
        <color rgb="FFFF0000"/>
        <color rgb="FFFFFF00"/>
        <color theme="6" tint="-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E834-EB31-CB4D-ACDF-AD9FE171AD54}">
  <dimension ref="D1:T15"/>
  <sheetViews>
    <sheetView showGridLines="0" topLeftCell="A6" zoomScaleNormal="100" workbookViewId="0">
      <selection activeCell="P17" sqref="P17"/>
    </sheetView>
  </sheetViews>
  <sheetFormatPr baseColWidth="10" defaultColWidth="8.33203125" defaultRowHeight="40" customHeight="1" x14ac:dyDescent="0.2"/>
  <cols>
    <col min="1" max="16384" width="8.33203125" style="4"/>
  </cols>
  <sheetData>
    <row r="1" spans="4:20" ht="40" customHeight="1" x14ac:dyDescent="0.2">
      <c r="H1" s="5" t="s">
        <v>30</v>
      </c>
      <c r="I1" s="5" t="s">
        <v>28</v>
      </c>
    </row>
    <row r="3" spans="4:20" ht="40" customHeight="1" x14ac:dyDescent="0.2">
      <c r="P3" s="4">
        <v>1</v>
      </c>
    </row>
    <row r="5" spans="4:20" ht="40" customHeight="1" x14ac:dyDescent="0.2">
      <c r="N5" s="4">
        <v>1</v>
      </c>
    </row>
    <row r="8" spans="4:20" ht="40" customHeight="1" x14ac:dyDescent="0.2">
      <c r="O8" s="4">
        <v>1</v>
      </c>
      <c r="P8" s="4">
        <v>2</v>
      </c>
    </row>
    <row r="9" spans="4:20" ht="40" customHeight="1" x14ac:dyDescent="0.2">
      <c r="D9" s="4">
        <v>1</v>
      </c>
      <c r="G9" s="4">
        <v>1</v>
      </c>
      <c r="H9" s="4">
        <v>2</v>
      </c>
      <c r="L9" s="4">
        <v>1</v>
      </c>
      <c r="M9" s="4">
        <v>2</v>
      </c>
      <c r="N9" s="4">
        <v>1</v>
      </c>
    </row>
    <row r="10" spans="4:20" ht="40" customHeight="1" x14ac:dyDescent="0.2">
      <c r="D10" s="4">
        <v>2</v>
      </c>
      <c r="F10" s="4">
        <v>1</v>
      </c>
      <c r="J10" s="4">
        <v>1</v>
      </c>
      <c r="K10" s="4">
        <v>1</v>
      </c>
      <c r="N10" s="4">
        <v>2</v>
      </c>
      <c r="R10" s="4">
        <v>1</v>
      </c>
      <c r="S10" s="4">
        <v>2</v>
      </c>
      <c r="T10" s="4">
        <v>3</v>
      </c>
    </row>
    <row r="11" spans="4:20" ht="40" customHeight="1" x14ac:dyDescent="0.2">
      <c r="D11" s="4">
        <v>3</v>
      </c>
      <c r="F11" s="4">
        <v>2</v>
      </c>
      <c r="I11" s="4">
        <v>1</v>
      </c>
      <c r="K11" s="4">
        <v>2</v>
      </c>
      <c r="N11" s="4">
        <v>3</v>
      </c>
      <c r="Q11" s="4">
        <v>1</v>
      </c>
    </row>
    <row r="12" spans="4:20" ht="40" customHeight="1" x14ac:dyDescent="0.2">
      <c r="D12" s="4">
        <v>4</v>
      </c>
      <c r="F12" s="4">
        <v>3</v>
      </c>
      <c r="I12" s="4">
        <v>2</v>
      </c>
      <c r="K12" s="4">
        <v>3</v>
      </c>
      <c r="N12" s="4">
        <v>4</v>
      </c>
      <c r="Q12" s="4">
        <v>2</v>
      </c>
    </row>
    <row r="13" spans="4:20" ht="40" customHeight="1" x14ac:dyDescent="0.2">
      <c r="D13" s="4">
        <v>5</v>
      </c>
      <c r="F13" s="4">
        <v>4</v>
      </c>
      <c r="I13" s="4">
        <v>3</v>
      </c>
      <c r="K13" s="4">
        <v>4</v>
      </c>
      <c r="N13" s="4">
        <v>5</v>
      </c>
      <c r="Q13" s="4">
        <v>3</v>
      </c>
    </row>
    <row r="14" spans="4:20" ht="40" customHeight="1" x14ac:dyDescent="0.2">
      <c r="D14" s="4">
        <v>6</v>
      </c>
      <c r="F14" s="4">
        <v>5</v>
      </c>
      <c r="K14" s="4">
        <v>5</v>
      </c>
      <c r="N14" s="4">
        <v>6</v>
      </c>
    </row>
    <row r="15" spans="4:20" ht="40" customHeight="1" x14ac:dyDescent="0.2">
      <c r="D15" s="4">
        <v>7</v>
      </c>
      <c r="K15" s="4">
        <v>6</v>
      </c>
      <c r="N15" s="4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9E5D-A5C4-844A-8D16-BBDC60EA7EDD}">
  <dimension ref="F1:AA37"/>
  <sheetViews>
    <sheetView showGridLines="0" topLeftCell="B1" zoomScaleNormal="100" workbookViewId="0">
      <selection activeCell="V12" sqref="V12"/>
    </sheetView>
  </sheetViews>
  <sheetFormatPr baseColWidth="10" defaultColWidth="8.33203125" defaultRowHeight="40" customHeight="1" x14ac:dyDescent="0.2"/>
  <cols>
    <col min="12" max="12" width="0" hidden="1" customWidth="1"/>
  </cols>
  <sheetData>
    <row r="1" spans="6:27" ht="40" customHeight="1" x14ac:dyDescent="0.2">
      <c r="M1" s="5" t="s">
        <v>30</v>
      </c>
      <c r="N1" s="5" t="s">
        <v>28</v>
      </c>
    </row>
    <row r="3" spans="6:27" ht="40" customHeight="1" x14ac:dyDescent="0.2">
      <c r="O3" s="4"/>
    </row>
    <row r="4" spans="6:27" ht="40" customHeight="1" x14ac:dyDescent="0.2">
      <c r="I4" s="4"/>
      <c r="J4" s="4"/>
      <c r="K4" s="4">
        <v>1</v>
      </c>
      <c r="L4" s="4"/>
      <c r="M4" s="4">
        <v>2</v>
      </c>
      <c r="N4" s="4">
        <v>3</v>
      </c>
      <c r="O4" s="4">
        <v>4</v>
      </c>
      <c r="P4" s="4">
        <v>5</v>
      </c>
      <c r="Q4" s="4">
        <v>6</v>
      </c>
      <c r="R4" s="4">
        <v>7</v>
      </c>
      <c r="S4" s="4">
        <v>8</v>
      </c>
      <c r="T4" s="4">
        <v>9</v>
      </c>
      <c r="U4" s="4">
        <v>10</v>
      </c>
      <c r="V4" s="4">
        <v>11</v>
      </c>
      <c r="W4" s="4"/>
      <c r="X4" s="4"/>
      <c r="Y4" s="4"/>
      <c r="Z4" s="4"/>
    </row>
    <row r="5" spans="6:27" ht="40" customHeight="1" x14ac:dyDescent="0.2">
      <c r="I5" s="4"/>
      <c r="J5" s="4">
        <v>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6:27" ht="40" customHeight="1" x14ac:dyDescent="0.2">
      <c r="F6" s="16"/>
      <c r="I6" s="4"/>
      <c r="J6" s="4">
        <v>2</v>
      </c>
      <c r="K6" s="4"/>
      <c r="L6" s="4">
        <v>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6:27" ht="40" customHeight="1" x14ac:dyDescent="0.2">
      <c r="F7" s="17"/>
      <c r="I7" s="4"/>
      <c r="J7" s="4">
        <v>3</v>
      </c>
      <c r="K7" s="4"/>
      <c r="L7" s="4">
        <v>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6:27" ht="40" customHeight="1" x14ac:dyDescent="0.2">
      <c r="F8" s="17"/>
      <c r="I8" s="4"/>
      <c r="J8" s="4">
        <v>4</v>
      </c>
      <c r="K8" s="4"/>
      <c r="L8" s="4">
        <v>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6:27" ht="40" customHeight="1" x14ac:dyDescent="0.2">
      <c r="F9" s="17"/>
      <c r="I9" s="4"/>
      <c r="J9" s="4">
        <v>5</v>
      </c>
      <c r="K9" s="4"/>
      <c r="L9" s="4">
        <v>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6:27" ht="40" customHeight="1" x14ac:dyDescent="0.2">
      <c r="F10" s="17"/>
      <c r="I10" s="4"/>
      <c r="J10" s="4">
        <v>6</v>
      </c>
      <c r="K10" s="4"/>
      <c r="L10" s="4">
        <v>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6:27" ht="40" customHeight="1" x14ac:dyDescent="0.2">
      <c r="F11" s="17"/>
      <c r="I11" s="4"/>
      <c r="J11" s="4">
        <v>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6:27" ht="40" customHeight="1" x14ac:dyDescent="0.2">
      <c r="F12" s="1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6:27" ht="40" customHeight="1" x14ac:dyDescent="0.2">
      <c r="F13" s="1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6:27" ht="40" customHeight="1" x14ac:dyDescent="0.2">
      <c r="F14" s="1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6:27" ht="40" customHeight="1" x14ac:dyDescent="0.2">
      <c r="F15" s="1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6:27" ht="40" customHeight="1" x14ac:dyDescent="0.2">
      <c r="F16" s="1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AA16">
        <v>1</v>
      </c>
    </row>
    <row r="17" spans="6:21" ht="40" customHeight="1" x14ac:dyDescent="0.2">
      <c r="F17" s="1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6:21" ht="40" customHeight="1" x14ac:dyDescent="0.2">
      <c r="F18" s="1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6:21" ht="40" customHeight="1" x14ac:dyDescent="0.2">
      <c r="F19" s="1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6:21" ht="40" customHeight="1" x14ac:dyDescent="0.2">
      <c r="F20" s="1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6:21" ht="40" customHeight="1" x14ac:dyDescent="0.2">
      <c r="F21" s="1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6:21" ht="40" customHeight="1" x14ac:dyDescent="0.2">
      <c r="F22" s="1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6:21" ht="40" customHeight="1" x14ac:dyDescent="0.2">
      <c r="F23" s="1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6:21" ht="40" customHeight="1" x14ac:dyDescent="0.2">
      <c r="F24" s="1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6:21" ht="40" customHeight="1" x14ac:dyDescent="0.2">
      <c r="F25" s="17"/>
      <c r="I25" s="4">
        <v>19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6:21" ht="40" customHeight="1" x14ac:dyDescent="0.2">
      <c r="F26" s="1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6:21" ht="40" customHeight="1" x14ac:dyDescent="0.2">
      <c r="F27" s="17"/>
    </row>
    <row r="28" spans="6:21" ht="40" customHeight="1" x14ac:dyDescent="0.2">
      <c r="F28" s="17"/>
    </row>
    <row r="29" spans="6:21" ht="40" customHeight="1" x14ac:dyDescent="0.2">
      <c r="F29" s="17"/>
    </row>
    <row r="30" spans="6:21" ht="40" customHeight="1" x14ac:dyDescent="0.2">
      <c r="F30" s="17"/>
    </row>
    <row r="31" spans="6:21" ht="40" customHeight="1" x14ac:dyDescent="0.2">
      <c r="F31" s="17"/>
    </row>
    <row r="32" spans="6:21" ht="40" customHeight="1" x14ac:dyDescent="0.2">
      <c r="F32" s="17"/>
    </row>
    <row r="33" spans="6:6" ht="40" customHeight="1" x14ac:dyDescent="0.2">
      <c r="F33" s="17"/>
    </row>
    <row r="34" spans="6:6" ht="40" customHeight="1" x14ac:dyDescent="0.2">
      <c r="F34" s="17"/>
    </row>
    <row r="35" spans="6:6" ht="40" customHeight="1" x14ac:dyDescent="0.2">
      <c r="F35" s="17"/>
    </row>
    <row r="36" spans="6:6" ht="40" customHeight="1" x14ac:dyDescent="0.2">
      <c r="F36" s="17"/>
    </row>
    <row r="37" spans="6:6" ht="40" customHeight="1" x14ac:dyDescent="0.2">
      <c r="F37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741C-EE96-854F-A41C-096F594BFE6B}">
  <dimension ref="E3:BN52"/>
  <sheetViews>
    <sheetView showGridLines="0" topLeftCell="A7" zoomScaleNormal="100" workbookViewId="0">
      <selection activeCell="L19" sqref="L19"/>
    </sheetView>
  </sheetViews>
  <sheetFormatPr baseColWidth="10" defaultColWidth="8.33203125" defaultRowHeight="40" customHeight="1" x14ac:dyDescent="0.2"/>
  <cols>
    <col min="18" max="18" width="8.33203125" customWidth="1"/>
  </cols>
  <sheetData>
    <row r="3" spans="5:66" ht="40" customHeight="1" x14ac:dyDescent="0.2">
      <c r="K3" s="5" t="s">
        <v>29</v>
      </c>
      <c r="L3" s="5" t="s">
        <v>39</v>
      </c>
    </row>
    <row r="6" spans="5:66" ht="40" customHeight="1" x14ac:dyDescent="0.2">
      <c r="F6" s="16"/>
    </row>
    <row r="7" spans="5:66" ht="40" customHeight="1" x14ac:dyDescent="0.2">
      <c r="F7" s="1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5:66" ht="40" customHeight="1" x14ac:dyDescent="0.2">
      <c r="F8" s="17"/>
      <c r="H8" s="4"/>
      <c r="I8" s="4"/>
      <c r="J8" s="4">
        <v>1</v>
      </c>
      <c r="K8" s="4">
        <v>2</v>
      </c>
      <c r="L8" s="4">
        <v>3</v>
      </c>
      <c r="M8" s="4">
        <v>4</v>
      </c>
      <c r="N8" s="4">
        <v>5</v>
      </c>
      <c r="O8" s="4">
        <v>6</v>
      </c>
      <c r="P8" s="4">
        <v>7</v>
      </c>
      <c r="Q8" s="4">
        <v>8</v>
      </c>
      <c r="R8" s="4">
        <v>9</v>
      </c>
      <c r="S8" s="4">
        <v>10</v>
      </c>
      <c r="T8" s="4">
        <v>11</v>
      </c>
      <c r="U8" s="4"/>
      <c r="W8" s="18" t="s">
        <v>33</v>
      </c>
      <c r="X8" s="19"/>
      <c r="Y8" s="19"/>
      <c r="Z8" s="19"/>
      <c r="AA8" s="19"/>
      <c r="AB8" s="19"/>
      <c r="AC8" s="19"/>
      <c r="AD8" s="17"/>
      <c r="AE8" s="17"/>
      <c r="AF8" s="17"/>
      <c r="AG8" s="17"/>
      <c r="AH8" s="17"/>
      <c r="AI8" s="17"/>
      <c r="AJ8" s="17"/>
      <c r="AK8" s="17"/>
      <c r="AL8" s="18" t="s">
        <v>34</v>
      </c>
      <c r="AM8" s="19"/>
      <c r="AN8" s="19"/>
      <c r="AO8" s="19"/>
      <c r="AP8" s="19"/>
      <c r="AQ8" s="19"/>
      <c r="AR8" s="19"/>
      <c r="AS8" s="17"/>
      <c r="AT8" s="17"/>
      <c r="AU8" s="17"/>
      <c r="AV8" s="17"/>
      <c r="AW8" s="17"/>
      <c r="AX8" s="17"/>
      <c r="AY8" s="17"/>
      <c r="AZ8" s="17"/>
      <c r="BA8" s="16" t="s">
        <v>35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 spans="5:66" ht="40" customHeight="1" x14ac:dyDescent="0.2">
      <c r="F9" s="17"/>
      <c r="H9" s="4"/>
      <c r="I9" s="4">
        <v>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W9" s="28"/>
      <c r="X9" s="29" t="s">
        <v>0</v>
      </c>
      <c r="Y9" s="29" t="s">
        <v>1</v>
      </c>
      <c r="Z9" s="29" t="s">
        <v>2</v>
      </c>
      <c r="AA9" s="29" t="s">
        <v>3</v>
      </c>
      <c r="AB9" s="29" t="s">
        <v>4</v>
      </c>
      <c r="AC9" s="29" t="s">
        <v>5</v>
      </c>
      <c r="AD9" s="29" t="s">
        <v>6</v>
      </c>
      <c r="AE9" s="29" t="s">
        <v>7</v>
      </c>
      <c r="AF9" s="29" t="s">
        <v>8</v>
      </c>
      <c r="AG9" s="29" t="s">
        <v>9</v>
      </c>
      <c r="AH9" s="29" t="s">
        <v>10</v>
      </c>
      <c r="AI9" s="29" t="s">
        <v>11</v>
      </c>
      <c r="AJ9" s="29" t="s">
        <v>12</v>
      </c>
      <c r="AK9" s="31"/>
      <c r="AL9" s="28"/>
      <c r="AM9" s="29" t="s">
        <v>0</v>
      </c>
      <c r="AN9" s="29" t="s">
        <v>1</v>
      </c>
      <c r="AO9" s="29" t="s">
        <v>2</v>
      </c>
      <c r="AP9" s="29" t="s">
        <v>3</v>
      </c>
      <c r="AQ9" s="29" t="s">
        <v>4</v>
      </c>
      <c r="AR9" s="29" t="s">
        <v>5</v>
      </c>
      <c r="AS9" s="29" t="s">
        <v>6</v>
      </c>
      <c r="AT9" s="29" t="s">
        <v>7</v>
      </c>
      <c r="AU9" s="29" t="s">
        <v>8</v>
      </c>
      <c r="AV9" s="29" t="s">
        <v>9</v>
      </c>
      <c r="AW9" s="29" t="s">
        <v>10</v>
      </c>
      <c r="AX9" s="29" t="s">
        <v>11</v>
      </c>
      <c r="AY9" s="29" t="s">
        <v>12</v>
      </c>
      <c r="AZ9" s="17"/>
      <c r="BA9" s="20"/>
      <c r="BB9" s="21" t="s">
        <v>0</v>
      </c>
      <c r="BC9" s="21" t="s">
        <v>1</v>
      </c>
      <c r="BD9" s="21" t="s">
        <v>2</v>
      </c>
      <c r="BE9" s="21" t="s">
        <v>3</v>
      </c>
      <c r="BF9" s="21" t="s">
        <v>4</v>
      </c>
      <c r="BG9" s="21" t="s">
        <v>5</v>
      </c>
      <c r="BH9" s="21" t="s">
        <v>6</v>
      </c>
      <c r="BI9" s="21" t="s">
        <v>7</v>
      </c>
      <c r="BJ9" s="21" t="s">
        <v>8</v>
      </c>
      <c r="BK9" s="21" t="s">
        <v>9</v>
      </c>
      <c r="BL9" s="21" t="s">
        <v>10</v>
      </c>
      <c r="BM9" s="21" t="s">
        <v>11</v>
      </c>
      <c r="BN9" s="21" t="s">
        <v>12</v>
      </c>
    </row>
    <row r="10" spans="5:66" ht="40" customHeight="1" x14ac:dyDescent="0.2">
      <c r="E10" s="51"/>
      <c r="F10" s="52" t="s">
        <v>31</v>
      </c>
      <c r="G10" s="52" t="s">
        <v>32</v>
      </c>
      <c r="H10" s="4"/>
      <c r="I10" s="4">
        <v>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W10" s="30" t="s">
        <v>0</v>
      </c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26"/>
      <c r="AK10" s="31"/>
      <c r="AL10" s="30" t="s">
        <v>0</v>
      </c>
      <c r="AM10" s="34"/>
      <c r="AN10" s="35">
        <v>0</v>
      </c>
      <c r="AO10" s="36"/>
      <c r="AP10" s="36"/>
      <c r="AQ10" s="36"/>
      <c r="AR10" s="36"/>
      <c r="AS10" s="36"/>
      <c r="AT10" s="36"/>
      <c r="AU10" s="36"/>
      <c r="AV10" s="36"/>
      <c r="AW10" s="34"/>
      <c r="AX10" s="34"/>
      <c r="AY10" s="34"/>
      <c r="AZ10" s="17"/>
      <c r="BA10" s="22" t="s">
        <v>0</v>
      </c>
      <c r="BB10" s="23" t="str">
        <f t="shared" ref="BB10:BB22" si="0">IF(SQRT(X10^2+AM10^2)=0,"",SQRT(X10^2+AM10^2))</f>
        <v/>
      </c>
      <c r="BC10" s="23" t="str">
        <f t="shared" ref="BC10:BC22" si="1">IF(SQRT(Y10^2+AN10^2)=0,"",SQRT(Y10^2+AN10^2))</f>
        <v/>
      </c>
      <c r="BD10" s="23" t="str">
        <f t="shared" ref="BD10:BD22" si="2">IF(SQRT(Z10^2+AO10^2)=0,"",SQRT(Z10^2+AO10^2))</f>
        <v/>
      </c>
      <c r="BE10" s="23" t="str">
        <f t="shared" ref="BE10:BE22" si="3">IF(SQRT(AA10^2+AP10^2)=0,"",SQRT(AA10^2+AP10^2))</f>
        <v/>
      </c>
      <c r="BF10" s="23" t="str">
        <f t="shared" ref="BF10:BF22" si="4">IF(SQRT(AB10^2+AQ10^2)=0,"",SQRT(AB10^2+AQ10^2))</f>
        <v/>
      </c>
      <c r="BG10" s="23" t="str">
        <f t="shared" ref="BG10:BG22" si="5">IF(SQRT(AC10^2+AR10^2)=0,"",SQRT(AC10^2+AR10^2))</f>
        <v/>
      </c>
      <c r="BH10" s="23" t="str">
        <f t="shared" ref="BH10:BH22" si="6">IF(SQRT(AD10^2+AS10^2)=0,"",SQRT(AD10^2+AS10^2))</f>
        <v/>
      </c>
      <c r="BI10" s="23" t="str">
        <f t="shared" ref="BI10:BN22" si="7">IF(SQRT(AE10^2+AT10^2)=0,"",SQRT(AE10^2+AT10^2))</f>
        <v/>
      </c>
      <c r="BJ10" s="23" t="str">
        <f t="shared" si="7"/>
        <v/>
      </c>
      <c r="BK10" s="23" t="str">
        <f t="shared" si="7"/>
        <v/>
      </c>
      <c r="BL10" s="23" t="str">
        <f t="shared" si="7"/>
        <v/>
      </c>
      <c r="BM10" s="23" t="str">
        <f t="shared" si="7"/>
        <v/>
      </c>
      <c r="BN10" s="23" t="str">
        <f t="shared" si="7"/>
        <v/>
      </c>
    </row>
    <row r="11" spans="5:66" ht="40" customHeight="1" x14ac:dyDescent="0.2">
      <c r="E11" s="11" t="s">
        <v>4</v>
      </c>
      <c r="F11" s="53">
        <v>0.5</v>
      </c>
      <c r="G11" s="53">
        <v>3.5</v>
      </c>
      <c r="H11" s="4"/>
      <c r="I11" s="4">
        <v>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W11" s="30" t="s">
        <v>1</v>
      </c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26"/>
      <c r="AK11" s="31"/>
      <c r="AL11" s="30" t="s">
        <v>1</v>
      </c>
      <c r="AM11" s="34"/>
      <c r="AN11" s="36"/>
      <c r="AO11" s="35">
        <v>0</v>
      </c>
      <c r="AP11" s="36"/>
      <c r="AQ11" s="36"/>
      <c r="AR11" s="36"/>
      <c r="AS11" s="36"/>
      <c r="AT11" s="36"/>
      <c r="AU11" s="36"/>
      <c r="AV11" s="36"/>
      <c r="AW11" s="34"/>
      <c r="AX11" s="34"/>
      <c r="AY11" s="34"/>
      <c r="AZ11" s="17"/>
      <c r="BA11" s="22" t="s">
        <v>1</v>
      </c>
      <c r="BB11" s="23" t="str">
        <f t="shared" si="0"/>
        <v/>
      </c>
      <c r="BC11" s="23" t="str">
        <f t="shared" si="1"/>
        <v/>
      </c>
      <c r="BD11" s="23" t="str">
        <f t="shared" si="2"/>
        <v/>
      </c>
      <c r="BE11" s="23" t="str">
        <f t="shared" si="3"/>
        <v/>
      </c>
      <c r="BF11" s="23" t="str">
        <f t="shared" si="4"/>
        <v/>
      </c>
      <c r="BG11" s="23" t="str">
        <f t="shared" si="5"/>
        <v/>
      </c>
      <c r="BH11" s="23" t="str">
        <f t="shared" si="6"/>
        <v/>
      </c>
      <c r="BI11" s="23" t="str">
        <f t="shared" si="7"/>
        <v/>
      </c>
      <c r="BJ11" s="23" t="str">
        <f t="shared" si="7"/>
        <v/>
      </c>
      <c r="BK11" s="23" t="str">
        <f t="shared" si="7"/>
        <v/>
      </c>
      <c r="BL11" s="23" t="str">
        <f t="shared" si="7"/>
        <v/>
      </c>
      <c r="BM11" s="23" t="str">
        <f t="shared" si="7"/>
        <v/>
      </c>
      <c r="BN11" s="23" t="str">
        <f t="shared" si="7"/>
        <v/>
      </c>
    </row>
    <row r="12" spans="5:66" ht="40" customHeight="1" x14ac:dyDescent="0.2">
      <c r="E12" s="11" t="s">
        <v>5</v>
      </c>
      <c r="F12" s="53">
        <v>2</v>
      </c>
      <c r="G12" s="53">
        <v>3.5</v>
      </c>
      <c r="H12" s="4"/>
      <c r="I12" s="4">
        <v>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W12" s="30" t="s">
        <v>2</v>
      </c>
      <c r="X12" s="54"/>
      <c r="Y12" s="54"/>
      <c r="Z12" s="54"/>
      <c r="AA12" s="55">
        <f>14*1.5</f>
        <v>21</v>
      </c>
      <c r="AB12" s="54"/>
      <c r="AC12" s="54"/>
      <c r="AD12" s="54"/>
      <c r="AE12" s="54"/>
      <c r="AF12" s="54"/>
      <c r="AG12" s="54"/>
      <c r="AH12" s="54"/>
      <c r="AI12" s="54"/>
      <c r="AJ12" s="26"/>
      <c r="AK12" s="31"/>
      <c r="AL12" s="30" t="s">
        <v>2</v>
      </c>
      <c r="AM12" s="34"/>
      <c r="AN12" s="36"/>
      <c r="AO12" s="36"/>
      <c r="AP12" s="35">
        <v>0</v>
      </c>
      <c r="AQ12" s="36"/>
      <c r="AR12" s="36"/>
      <c r="AS12" s="36"/>
      <c r="AT12" s="36"/>
      <c r="AU12" s="36"/>
      <c r="AV12" s="36"/>
      <c r="AW12" s="34"/>
      <c r="AX12" s="34"/>
      <c r="AY12" s="34"/>
      <c r="AZ12" s="17"/>
      <c r="BA12" s="22" t="s">
        <v>2</v>
      </c>
      <c r="BB12" s="23" t="str">
        <f t="shared" si="0"/>
        <v/>
      </c>
      <c r="BC12" s="23" t="str">
        <f t="shared" si="1"/>
        <v/>
      </c>
      <c r="BD12" s="23" t="str">
        <f t="shared" si="2"/>
        <v/>
      </c>
      <c r="BE12" s="23">
        <f t="shared" si="3"/>
        <v>21</v>
      </c>
      <c r="BF12" s="23" t="str">
        <f t="shared" si="4"/>
        <v/>
      </c>
      <c r="BG12" s="23" t="str">
        <f t="shared" si="5"/>
        <v/>
      </c>
      <c r="BH12" s="23" t="str">
        <f t="shared" si="6"/>
        <v/>
      </c>
      <c r="BI12" s="23" t="str">
        <f t="shared" si="7"/>
        <v/>
      </c>
      <c r="BJ12" s="23" t="str">
        <f t="shared" si="7"/>
        <v/>
      </c>
      <c r="BK12" s="23" t="str">
        <f t="shared" si="7"/>
        <v/>
      </c>
      <c r="BL12" s="23" t="str">
        <f t="shared" si="7"/>
        <v/>
      </c>
      <c r="BM12" s="23" t="str">
        <f t="shared" si="7"/>
        <v/>
      </c>
      <c r="BN12" s="23" t="str">
        <f t="shared" si="7"/>
        <v/>
      </c>
    </row>
    <row r="13" spans="5:66" ht="40" customHeight="1" x14ac:dyDescent="0.2">
      <c r="E13" s="11" t="s">
        <v>2</v>
      </c>
      <c r="F13" s="53">
        <v>3.5</v>
      </c>
      <c r="G13" s="53">
        <v>3.5</v>
      </c>
      <c r="H13" s="4"/>
      <c r="I13" s="4">
        <v>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W13" s="30" t="s">
        <v>3</v>
      </c>
      <c r="X13" s="54"/>
      <c r="Y13" s="54"/>
      <c r="Z13" s="54"/>
      <c r="AA13" s="54"/>
      <c r="AB13" s="54"/>
      <c r="AC13" s="54"/>
      <c r="AD13" s="54"/>
      <c r="AE13" s="54"/>
      <c r="AF13" s="55">
        <f>14*2</f>
        <v>28</v>
      </c>
      <c r="AG13" s="54"/>
      <c r="AH13" s="54"/>
      <c r="AI13" s="54"/>
      <c r="AJ13" s="26"/>
      <c r="AK13" s="31"/>
      <c r="AL13" s="30" t="s">
        <v>3</v>
      </c>
      <c r="AM13" s="34"/>
      <c r="AN13" s="36"/>
      <c r="AO13" s="36"/>
      <c r="AP13" s="36"/>
      <c r="AQ13" s="36"/>
      <c r="AR13" s="36"/>
      <c r="AS13" s="36"/>
      <c r="AT13" s="35">
        <v>0</v>
      </c>
      <c r="AU13" s="36"/>
      <c r="AV13" s="36"/>
      <c r="AW13" s="34"/>
      <c r="AX13" s="34"/>
      <c r="AY13" s="34"/>
      <c r="AZ13" s="17"/>
      <c r="BA13" s="22">
        <v>0</v>
      </c>
      <c r="BB13" s="23" t="str">
        <f t="shared" si="0"/>
        <v/>
      </c>
      <c r="BC13" s="23" t="str">
        <f t="shared" si="1"/>
        <v/>
      </c>
      <c r="BD13" s="23" t="str">
        <f t="shared" si="2"/>
        <v/>
      </c>
      <c r="BE13" s="23" t="str">
        <f t="shared" si="3"/>
        <v/>
      </c>
      <c r="BF13" s="23" t="str">
        <f t="shared" si="4"/>
        <v/>
      </c>
      <c r="BG13" s="23" t="str">
        <f t="shared" si="5"/>
        <v/>
      </c>
      <c r="BH13" s="23" t="str">
        <f t="shared" si="6"/>
        <v/>
      </c>
      <c r="BI13" s="23" t="str">
        <f t="shared" si="7"/>
        <v/>
      </c>
      <c r="BJ13" s="23">
        <f t="shared" si="7"/>
        <v>28</v>
      </c>
      <c r="BK13" s="23" t="str">
        <f t="shared" si="7"/>
        <v/>
      </c>
      <c r="BL13" s="23" t="str">
        <f t="shared" si="7"/>
        <v/>
      </c>
      <c r="BM13" s="23" t="str">
        <f t="shared" si="7"/>
        <v/>
      </c>
      <c r="BN13" s="23" t="str">
        <f t="shared" si="7"/>
        <v/>
      </c>
    </row>
    <row r="14" spans="5:66" ht="40" customHeight="1" x14ac:dyDescent="0.2">
      <c r="E14" s="11" t="s">
        <v>3</v>
      </c>
      <c r="F14" s="53">
        <v>5</v>
      </c>
      <c r="G14" s="53">
        <v>3.5</v>
      </c>
      <c r="H14" s="4"/>
      <c r="I14" s="4">
        <v>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W14" s="30" t="s">
        <v>4</v>
      </c>
      <c r="X14" s="54"/>
      <c r="Y14" s="54"/>
      <c r="Z14" s="54"/>
      <c r="AA14" s="54"/>
      <c r="AB14" s="54"/>
      <c r="AC14" s="55">
        <f>14*1.5</f>
        <v>21</v>
      </c>
      <c r="AD14" s="54"/>
      <c r="AE14" s="54"/>
      <c r="AF14" s="54"/>
      <c r="AG14" s="54"/>
      <c r="AH14" s="54"/>
      <c r="AI14" s="54"/>
      <c r="AJ14" s="26"/>
      <c r="AK14" s="31"/>
      <c r="AL14" s="30" t="s">
        <v>4</v>
      </c>
      <c r="AM14" s="34"/>
      <c r="AN14" s="36"/>
      <c r="AO14" s="36"/>
      <c r="AP14" s="36"/>
      <c r="AQ14" s="36"/>
      <c r="AR14" s="36"/>
      <c r="AS14" s="36"/>
      <c r="AT14" s="36"/>
      <c r="AU14" s="36"/>
      <c r="AV14" s="36"/>
      <c r="AW14" s="34"/>
      <c r="AX14" s="34"/>
      <c r="AY14" s="34"/>
      <c r="AZ14" s="17"/>
      <c r="BA14" s="22" t="s">
        <v>4</v>
      </c>
      <c r="BB14" s="23" t="str">
        <f t="shared" si="0"/>
        <v/>
      </c>
      <c r="BC14" s="23" t="str">
        <f t="shared" si="1"/>
        <v/>
      </c>
      <c r="BD14" s="23" t="str">
        <f t="shared" si="2"/>
        <v/>
      </c>
      <c r="BE14" s="23" t="str">
        <f t="shared" si="3"/>
        <v/>
      </c>
      <c r="BF14" s="23" t="str">
        <f t="shared" si="4"/>
        <v/>
      </c>
      <c r="BG14" s="23">
        <f t="shared" si="5"/>
        <v>21</v>
      </c>
      <c r="BH14" s="23" t="str">
        <f t="shared" si="6"/>
        <v/>
      </c>
      <c r="BI14" s="23" t="str">
        <f t="shared" si="7"/>
        <v/>
      </c>
      <c r="BJ14" s="23" t="str">
        <f t="shared" si="7"/>
        <v/>
      </c>
      <c r="BK14" s="23" t="str">
        <f t="shared" si="7"/>
        <v/>
      </c>
      <c r="BL14" s="23" t="str">
        <f t="shared" si="7"/>
        <v/>
      </c>
      <c r="BM14" s="23" t="str">
        <f t="shared" si="7"/>
        <v/>
      </c>
      <c r="BN14" s="23" t="str">
        <f t="shared" si="7"/>
        <v/>
      </c>
    </row>
    <row r="15" spans="5:66" ht="40" customHeight="1" x14ac:dyDescent="0.2">
      <c r="E15" s="11" t="s">
        <v>8</v>
      </c>
      <c r="F15" s="53">
        <v>7</v>
      </c>
      <c r="G15" s="53">
        <v>3.5</v>
      </c>
      <c r="H15" s="4"/>
      <c r="I15" s="4">
        <v>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W15" s="30" t="s">
        <v>5</v>
      </c>
      <c r="X15" s="54"/>
      <c r="Y15" s="54"/>
      <c r="Z15" s="55">
        <f>14*1.5</f>
        <v>21</v>
      </c>
      <c r="AA15" s="54"/>
      <c r="AB15" s="54"/>
      <c r="AC15" s="54"/>
      <c r="AD15" s="54"/>
      <c r="AE15" s="54"/>
      <c r="AF15" s="54"/>
      <c r="AG15" s="54"/>
      <c r="AH15" s="54"/>
      <c r="AI15" s="54"/>
      <c r="AJ15" s="26"/>
      <c r="AK15" s="31"/>
      <c r="AL15" s="30" t="s">
        <v>5</v>
      </c>
      <c r="AM15" s="34"/>
      <c r="AN15" s="36"/>
      <c r="AO15" s="36"/>
      <c r="AP15" s="36"/>
      <c r="AQ15" s="36"/>
      <c r="AR15" s="36"/>
      <c r="AS15" s="36"/>
      <c r="AT15" s="36"/>
      <c r="AU15" s="36"/>
      <c r="AV15" s="36"/>
      <c r="AW15" s="34"/>
      <c r="AX15" s="34"/>
      <c r="AY15" s="34"/>
      <c r="AZ15" s="17"/>
      <c r="BA15" s="22" t="s">
        <v>5</v>
      </c>
      <c r="BB15" s="23" t="str">
        <f t="shared" si="0"/>
        <v/>
      </c>
      <c r="BC15" s="23" t="str">
        <f t="shared" si="1"/>
        <v/>
      </c>
      <c r="BD15" s="23">
        <f t="shared" si="2"/>
        <v>21</v>
      </c>
      <c r="BE15" s="23" t="str">
        <f t="shared" si="3"/>
        <v/>
      </c>
      <c r="BF15" s="23" t="str">
        <f t="shared" si="4"/>
        <v/>
      </c>
      <c r="BG15" s="23" t="str">
        <f t="shared" si="5"/>
        <v/>
      </c>
      <c r="BH15" s="23" t="str">
        <f t="shared" si="6"/>
        <v/>
      </c>
      <c r="BI15" s="23" t="str">
        <f t="shared" si="7"/>
        <v/>
      </c>
      <c r="BJ15" s="23" t="str">
        <f t="shared" si="7"/>
        <v/>
      </c>
      <c r="BK15" s="23" t="str">
        <f t="shared" si="7"/>
        <v/>
      </c>
      <c r="BL15" s="23" t="str">
        <f t="shared" si="7"/>
        <v/>
      </c>
      <c r="BM15" s="23" t="str">
        <f t="shared" si="7"/>
        <v/>
      </c>
      <c r="BN15" s="23" t="str">
        <f t="shared" si="7"/>
        <v/>
      </c>
    </row>
    <row r="16" spans="5:66" ht="40" customHeight="1" x14ac:dyDescent="0.2">
      <c r="E16" s="11" t="s">
        <v>9</v>
      </c>
      <c r="F16" s="53">
        <v>9.5</v>
      </c>
      <c r="G16" s="53">
        <v>3.5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W16" s="30" t="s">
        <v>6</v>
      </c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26"/>
      <c r="AK16" s="31"/>
      <c r="AL16" s="30" t="s">
        <v>6</v>
      </c>
      <c r="AM16" s="34"/>
      <c r="AN16" s="36"/>
      <c r="AO16" s="36"/>
      <c r="AP16" s="36"/>
      <c r="AQ16" s="36"/>
      <c r="AR16" s="36"/>
      <c r="AS16" s="36"/>
      <c r="AT16" s="36"/>
      <c r="AU16" s="36"/>
      <c r="AV16" s="36"/>
      <c r="AW16" s="34"/>
      <c r="AX16" s="34"/>
      <c r="AY16" s="34"/>
      <c r="AZ16" s="17"/>
      <c r="BA16" s="22" t="s">
        <v>6</v>
      </c>
      <c r="BB16" s="23" t="str">
        <f t="shared" si="0"/>
        <v/>
      </c>
      <c r="BC16" s="23" t="str">
        <f t="shared" si="1"/>
        <v/>
      </c>
      <c r="BD16" s="23" t="str">
        <f t="shared" si="2"/>
        <v/>
      </c>
      <c r="BE16" s="23" t="str">
        <f t="shared" si="3"/>
        <v/>
      </c>
      <c r="BF16" s="23" t="str">
        <f t="shared" si="4"/>
        <v/>
      </c>
      <c r="BG16" s="23" t="str">
        <f t="shared" si="5"/>
        <v/>
      </c>
      <c r="BH16" s="23" t="str">
        <f t="shared" si="6"/>
        <v/>
      </c>
      <c r="BI16" s="23" t="str">
        <f t="shared" si="7"/>
        <v/>
      </c>
      <c r="BJ16" s="23" t="str">
        <f t="shared" si="7"/>
        <v/>
      </c>
      <c r="BK16" s="23" t="str">
        <f t="shared" si="7"/>
        <v/>
      </c>
      <c r="BL16" s="23" t="str">
        <f t="shared" si="7"/>
        <v/>
      </c>
      <c r="BM16" s="23" t="str">
        <f t="shared" si="7"/>
        <v/>
      </c>
      <c r="BN16" s="23" t="str">
        <f t="shared" si="7"/>
        <v/>
      </c>
    </row>
    <row r="17" spans="6:66" ht="40" customHeight="1" x14ac:dyDescent="0.2">
      <c r="F17" s="1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W17" s="30" t="s">
        <v>7</v>
      </c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26"/>
      <c r="AK17" s="31"/>
      <c r="AL17" s="30" t="s">
        <v>7</v>
      </c>
      <c r="AM17" s="34"/>
      <c r="AN17" s="36"/>
      <c r="AO17" s="36"/>
      <c r="AP17" s="36"/>
      <c r="AQ17" s="36"/>
      <c r="AR17" s="36"/>
      <c r="AS17" s="36"/>
      <c r="AT17" s="36"/>
      <c r="AU17" s="35">
        <v>0</v>
      </c>
      <c r="AV17" s="36"/>
      <c r="AW17" s="34"/>
      <c r="AX17" s="34"/>
      <c r="AY17" s="34"/>
      <c r="AZ17" s="17"/>
      <c r="BA17" s="22" t="s">
        <v>7</v>
      </c>
      <c r="BB17" s="23" t="str">
        <f t="shared" si="0"/>
        <v/>
      </c>
      <c r="BC17" s="23" t="str">
        <f t="shared" si="1"/>
        <v/>
      </c>
      <c r="BD17" s="23" t="str">
        <f t="shared" si="2"/>
        <v/>
      </c>
      <c r="BE17" s="23" t="str">
        <f t="shared" si="3"/>
        <v/>
      </c>
      <c r="BF17" s="23" t="str">
        <f t="shared" si="4"/>
        <v/>
      </c>
      <c r="BG17" s="23" t="str">
        <f t="shared" si="5"/>
        <v/>
      </c>
      <c r="BH17" s="23" t="str">
        <f t="shared" si="6"/>
        <v/>
      </c>
      <c r="BI17" s="23" t="str">
        <f t="shared" si="7"/>
        <v/>
      </c>
      <c r="BJ17" s="23" t="str">
        <f t="shared" si="7"/>
        <v/>
      </c>
      <c r="BK17" s="23" t="str">
        <f t="shared" si="7"/>
        <v/>
      </c>
      <c r="BL17" s="23" t="str">
        <f t="shared" si="7"/>
        <v/>
      </c>
      <c r="BM17" s="23" t="str">
        <f t="shared" si="7"/>
        <v/>
      </c>
      <c r="BN17" s="23" t="str">
        <f t="shared" si="7"/>
        <v/>
      </c>
    </row>
    <row r="18" spans="6:66" ht="40" customHeight="1" x14ac:dyDescent="0.2">
      <c r="F18" s="1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W18" s="30" t="s">
        <v>8</v>
      </c>
      <c r="X18" s="54"/>
      <c r="Y18" s="54"/>
      <c r="Z18" s="54"/>
      <c r="AA18" s="54"/>
      <c r="AB18" s="54"/>
      <c r="AC18" s="54"/>
      <c r="AD18" s="54"/>
      <c r="AE18" s="54"/>
      <c r="AF18" s="54"/>
      <c r="AG18" s="55">
        <f>14*2.5</f>
        <v>35</v>
      </c>
      <c r="AH18" s="54"/>
      <c r="AI18" s="54"/>
      <c r="AJ18" s="26"/>
      <c r="AK18" s="31"/>
      <c r="AL18" s="30" t="s">
        <v>8</v>
      </c>
      <c r="AM18" s="34"/>
      <c r="AN18" s="36"/>
      <c r="AO18" s="36"/>
      <c r="AP18" s="36"/>
      <c r="AQ18" s="36"/>
      <c r="AR18" s="36"/>
      <c r="AS18" s="36"/>
      <c r="AT18" s="36"/>
      <c r="AU18" s="36"/>
      <c r="AV18" s="35">
        <v>0</v>
      </c>
      <c r="AW18" s="34"/>
      <c r="AX18" s="34"/>
      <c r="AY18" s="34"/>
      <c r="AZ18" s="17"/>
      <c r="BA18" s="22" t="s">
        <v>8</v>
      </c>
      <c r="BB18" s="23" t="str">
        <f t="shared" si="0"/>
        <v/>
      </c>
      <c r="BC18" s="23" t="str">
        <f t="shared" si="1"/>
        <v/>
      </c>
      <c r="BD18" s="23" t="str">
        <f t="shared" si="2"/>
        <v/>
      </c>
      <c r="BE18" s="23" t="str">
        <f t="shared" si="3"/>
        <v/>
      </c>
      <c r="BF18" s="23" t="str">
        <f t="shared" si="4"/>
        <v/>
      </c>
      <c r="BG18" s="23" t="str">
        <f t="shared" si="5"/>
        <v/>
      </c>
      <c r="BH18" s="23" t="str">
        <f t="shared" si="6"/>
        <v/>
      </c>
      <c r="BI18" s="23" t="str">
        <f t="shared" si="7"/>
        <v/>
      </c>
      <c r="BJ18" s="23" t="str">
        <f t="shared" si="7"/>
        <v/>
      </c>
      <c r="BK18" s="23">
        <f t="shared" si="7"/>
        <v>35</v>
      </c>
      <c r="BL18" s="23" t="str">
        <f t="shared" si="7"/>
        <v/>
      </c>
      <c r="BM18" s="23" t="str">
        <f t="shared" si="7"/>
        <v/>
      </c>
      <c r="BN18" s="23" t="str">
        <f t="shared" si="7"/>
        <v/>
      </c>
    </row>
    <row r="19" spans="6:66" ht="40" customHeight="1" x14ac:dyDescent="0.2">
      <c r="F19" s="1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W19" s="30" t="s">
        <v>9</v>
      </c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26"/>
      <c r="AK19" s="31"/>
      <c r="AL19" s="30" t="s">
        <v>9</v>
      </c>
      <c r="AM19" s="34"/>
      <c r="AN19" s="36"/>
      <c r="AO19" s="36"/>
      <c r="AP19" s="36"/>
      <c r="AQ19" s="36"/>
      <c r="AR19" s="36"/>
      <c r="AS19" s="36"/>
      <c r="AT19" s="36"/>
      <c r="AU19" s="36"/>
      <c r="AV19" s="36"/>
      <c r="AW19" s="34"/>
      <c r="AX19" s="34"/>
      <c r="AY19" s="34"/>
      <c r="AZ19" s="17"/>
      <c r="BA19" s="22" t="s">
        <v>9</v>
      </c>
      <c r="BB19" s="23" t="str">
        <f t="shared" si="0"/>
        <v/>
      </c>
      <c r="BC19" s="23" t="str">
        <f t="shared" si="1"/>
        <v/>
      </c>
      <c r="BD19" s="23" t="str">
        <f t="shared" si="2"/>
        <v/>
      </c>
      <c r="BE19" s="23" t="str">
        <f t="shared" si="3"/>
        <v/>
      </c>
      <c r="BF19" s="23" t="str">
        <f t="shared" si="4"/>
        <v/>
      </c>
      <c r="BG19" s="23" t="str">
        <f t="shared" si="5"/>
        <v/>
      </c>
      <c r="BH19" s="23" t="str">
        <f t="shared" si="6"/>
        <v/>
      </c>
      <c r="BI19" s="23" t="str">
        <f t="shared" si="7"/>
        <v/>
      </c>
      <c r="BJ19" s="23" t="str">
        <f t="shared" si="7"/>
        <v/>
      </c>
      <c r="BK19" s="23" t="str">
        <f t="shared" si="7"/>
        <v/>
      </c>
      <c r="BL19" s="23" t="str">
        <f t="shared" si="7"/>
        <v/>
      </c>
      <c r="BM19" s="23" t="str">
        <f t="shared" si="7"/>
        <v/>
      </c>
      <c r="BN19" s="23" t="str">
        <f t="shared" si="7"/>
        <v/>
      </c>
    </row>
    <row r="20" spans="6:66" ht="40" customHeight="1" x14ac:dyDescent="0.2">
      <c r="F20" s="1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W20" s="30" t="s">
        <v>10</v>
      </c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26"/>
      <c r="AK20" s="31"/>
      <c r="AL20" s="30" t="s">
        <v>10</v>
      </c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17"/>
      <c r="BA20" s="22" t="s">
        <v>10</v>
      </c>
      <c r="BB20" s="23" t="str">
        <f t="shared" si="0"/>
        <v/>
      </c>
      <c r="BC20" s="23" t="str">
        <f t="shared" si="1"/>
        <v/>
      </c>
      <c r="BD20" s="23" t="str">
        <f t="shared" si="2"/>
        <v/>
      </c>
      <c r="BE20" s="23" t="str">
        <f t="shared" si="3"/>
        <v/>
      </c>
      <c r="BF20" s="23" t="str">
        <f t="shared" si="4"/>
        <v/>
      </c>
      <c r="BG20" s="23" t="str">
        <f t="shared" si="5"/>
        <v/>
      </c>
      <c r="BH20" s="23" t="str">
        <f t="shared" si="6"/>
        <v/>
      </c>
      <c r="BI20" s="23" t="str">
        <f t="shared" si="7"/>
        <v/>
      </c>
      <c r="BJ20" s="23" t="str">
        <f t="shared" si="7"/>
        <v/>
      </c>
      <c r="BK20" s="23" t="str">
        <f t="shared" si="7"/>
        <v/>
      </c>
      <c r="BL20" s="23" t="str">
        <f t="shared" si="7"/>
        <v/>
      </c>
      <c r="BM20" s="23" t="str">
        <f t="shared" si="7"/>
        <v/>
      </c>
      <c r="BN20" s="23" t="str">
        <f t="shared" si="7"/>
        <v/>
      </c>
    </row>
    <row r="21" spans="6:66" ht="40" customHeight="1" x14ac:dyDescent="0.2">
      <c r="F21" s="1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W21" s="30" t="s">
        <v>11</v>
      </c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31"/>
      <c r="AL21" s="30" t="s">
        <v>11</v>
      </c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17"/>
      <c r="BA21" s="22" t="s">
        <v>11</v>
      </c>
      <c r="BB21" s="23" t="str">
        <f t="shared" si="0"/>
        <v/>
      </c>
      <c r="BC21" s="23" t="str">
        <f t="shared" si="1"/>
        <v/>
      </c>
      <c r="BD21" s="23" t="str">
        <f t="shared" si="2"/>
        <v/>
      </c>
      <c r="BE21" s="23" t="str">
        <f t="shared" si="3"/>
        <v/>
      </c>
      <c r="BF21" s="23" t="str">
        <f t="shared" si="4"/>
        <v/>
      </c>
      <c r="BG21" s="23" t="str">
        <f t="shared" si="5"/>
        <v/>
      </c>
      <c r="BH21" s="23" t="str">
        <f t="shared" si="6"/>
        <v/>
      </c>
      <c r="BI21" s="23" t="str">
        <f t="shared" si="7"/>
        <v/>
      </c>
      <c r="BJ21" s="23" t="str">
        <f t="shared" si="7"/>
        <v/>
      </c>
      <c r="BK21" s="23" t="str">
        <f t="shared" si="7"/>
        <v/>
      </c>
      <c r="BL21" s="23" t="str">
        <f t="shared" si="7"/>
        <v/>
      </c>
      <c r="BM21" s="23" t="str">
        <f t="shared" si="7"/>
        <v/>
      </c>
      <c r="BN21" s="23" t="str">
        <f t="shared" si="7"/>
        <v/>
      </c>
    </row>
    <row r="22" spans="6:66" ht="40" customHeight="1" x14ac:dyDescent="0.2">
      <c r="F22" s="1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W22" s="30" t="s">
        <v>12</v>
      </c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31"/>
      <c r="AL22" s="30" t="s">
        <v>12</v>
      </c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17"/>
      <c r="BA22" s="22" t="s">
        <v>12</v>
      </c>
      <c r="BB22" s="23" t="str">
        <f t="shared" si="0"/>
        <v/>
      </c>
      <c r="BC22" s="23" t="str">
        <f t="shared" si="1"/>
        <v/>
      </c>
      <c r="BD22" s="23" t="str">
        <f t="shared" si="2"/>
        <v/>
      </c>
      <c r="BE22" s="23" t="str">
        <f t="shared" si="3"/>
        <v/>
      </c>
      <c r="BF22" s="23" t="str">
        <f t="shared" si="4"/>
        <v/>
      </c>
      <c r="BG22" s="23" t="str">
        <f t="shared" si="5"/>
        <v/>
      </c>
      <c r="BH22" s="23" t="str">
        <f t="shared" si="6"/>
        <v/>
      </c>
      <c r="BI22" s="23" t="str">
        <f t="shared" si="7"/>
        <v/>
      </c>
      <c r="BJ22" s="23" t="str">
        <f t="shared" si="7"/>
        <v/>
      </c>
      <c r="BK22" s="23" t="str">
        <f t="shared" si="7"/>
        <v/>
      </c>
      <c r="BL22" s="23" t="str">
        <f t="shared" si="7"/>
        <v/>
      </c>
      <c r="BM22" s="23" t="str">
        <f t="shared" si="7"/>
        <v/>
      </c>
      <c r="BN22" s="23" t="str">
        <f t="shared" si="7"/>
        <v/>
      </c>
    </row>
    <row r="23" spans="6:66" ht="40" customHeight="1" x14ac:dyDescent="0.2">
      <c r="F23" s="1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</row>
    <row r="24" spans="6:66" ht="40" customHeight="1" x14ac:dyDescent="0.2">
      <c r="F24" s="1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W24" s="28"/>
      <c r="X24" s="29" t="s">
        <v>0</v>
      </c>
      <c r="Y24" s="29" t="s">
        <v>1</v>
      </c>
      <c r="Z24" s="29" t="s">
        <v>2</v>
      </c>
      <c r="AA24" s="29" t="s">
        <v>3</v>
      </c>
      <c r="AB24" s="29" t="s">
        <v>4</v>
      </c>
      <c r="AC24" s="29" t="s">
        <v>5</v>
      </c>
      <c r="AD24" s="29" t="s">
        <v>6</v>
      </c>
      <c r="AE24" s="29" t="s">
        <v>7</v>
      </c>
      <c r="AF24" s="29" t="s">
        <v>8</v>
      </c>
      <c r="AG24" s="29" t="s">
        <v>9</v>
      </c>
      <c r="AH24" s="29" t="s">
        <v>10</v>
      </c>
      <c r="AI24" s="29" t="s">
        <v>11</v>
      </c>
      <c r="AJ24" s="29" t="s">
        <v>12</v>
      </c>
      <c r="AK24" s="17"/>
      <c r="AL24" s="20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 spans="6:66" ht="40" customHeight="1" x14ac:dyDescent="0.2">
      <c r="F25" s="1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W25" s="30" t="s">
        <v>0</v>
      </c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17"/>
      <c r="AL25" s="22"/>
      <c r="AM25" s="3" t="s">
        <v>36</v>
      </c>
      <c r="AN25" s="3"/>
      <c r="AO25" s="3"/>
      <c r="AP25" s="23">
        <f>SUMPRODUCT(X25:AJ37,BB10:BN22)</f>
        <v>1744615.3846153789</v>
      </c>
      <c r="AQ25" s="3"/>
      <c r="AR25" s="3"/>
      <c r="AS25" s="3"/>
      <c r="AT25" s="3"/>
      <c r="AU25" s="3"/>
      <c r="AV25" s="3"/>
      <c r="AW25" s="3"/>
      <c r="AX25" s="3"/>
      <c r="AY25" s="3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</row>
    <row r="26" spans="6:66" ht="40" customHeight="1" x14ac:dyDescent="0.2">
      <c r="F26" s="1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W26" s="30" t="s">
        <v>1</v>
      </c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17"/>
      <c r="AL26" s="22"/>
      <c r="AM26" s="3" t="s">
        <v>37</v>
      </c>
      <c r="AN26" s="3"/>
      <c r="AO26" s="3"/>
      <c r="AP26" s="24">
        <f>SUM(X25:AJ37)</f>
        <v>69230.769230769001</v>
      </c>
      <c r="AQ26" s="3"/>
      <c r="AR26" s="3"/>
      <c r="AS26" s="3"/>
      <c r="AT26" s="3"/>
      <c r="AU26" s="3"/>
      <c r="AV26" s="3"/>
      <c r="AW26" s="3"/>
      <c r="AX26" s="3"/>
      <c r="AY26" s="3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 spans="6:66" ht="40" customHeight="1" x14ac:dyDescent="0.2">
      <c r="F27" s="17"/>
      <c r="W27" s="30" t="s">
        <v>2</v>
      </c>
      <c r="X27" s="54"/>
      <c r="Y27" s="54"/>
      <c r="Z27" s="54"/>
      <c r="AA27" s="56">
        <v>13846.1538461538</v>
      </c>
      <c r="AB27" s="54"/>
      <c r="AC27" s="54"/>
      <c r="AD27" s="54"/>
      <c r="AE27" s="54"/>
      <c r="AF27" s="54"/>
      <c r="AG27" s="54"/>
      <c r="AH27" s="54"/>
      <c r="AI27" s="54"/>
      <c r="AJ27" s="54"/>
      <c r="AK27" s="17"/>
      <c r="AL27" s="22"/>
      <c r="AM27" s="3" t="s">
        <v>38</v>
      </c>
      <c r="AN27" s="3"/>
      <c r="AO27" s="3"/>
      <c r="AP27" s="23">
        <f>AP25/AP26</f>
        <v>25.200000000000003</v>
      </c>
      <c r="AQ27" s="3"/>
      <c r="AR27" s="3"/>
      <c r="AS27" s="3"/>
      <c r="AT27" s="3"/>
      <c r="AU27" s="3"/>
      <c r="AV27" s="3"/>
      <c r="AW27" s="3"/>
      <c r="AX27" s="3"/>
      <c r="AY27" s="3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</row>
    <row r="28" spans="6:66" ht="40" customHeight="1" x14ac:dyDescent="0.2">
      <c r="W28" s="30" t="s">
        <v>3</v>
      </c>
      <c r="X28" s="54"/>
      <c r="Y28" s="54"/>
      <c r="Z28" s="54"/>
      <c r="AA28" s="54"/>
      <c r="AB28" s="54"/>
      <c r="AC28" s="54"/>
      <c r="AD28" s="54"/>
      <c r="AE28" s="54"/>
      <c r="AF28" s="56">
        <v>13846.1538461538</v>
      </c>
      <c r="AG28" s="54"/>
      <c r="AH28" s="54"/>
      <c r="AI28" s="54"/>
      <c r="AJ28" s="54"/>
      <c r="AK28" s="17"/>
      <c r="AL28" s="22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 spans="6:66" ht="40" customHeight="1" x14ac:dyDescent="0.2">
      <c r="W29" s="30" t="s">
        <v>4</v>
      </c>
      <c r="X29" s="54"/>
      <c r="Y29" s="54"/>
      <c r="Z29" s="54"/>
      <c r="AA29" s="54"/>
      <c r="AB29" s="57"/>
      <c r="AC29" s="56">
        <v>13846.1538461538</v>
      </c>
      <c r="AD29" s="54"/>
      <c r="AE29" s="54"/>
      <c r="AF29" s="54"/>
      <c r="AG29" s="54"/>
      <c r="AH29" s="54"/>
      <c r="AI29" s="54"/>
      <c r="AJ29" s="54"/>
      <c r="AK29" s="17"/>
      <c r="AL29" s="22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</row>
    <row r="30" spans="6:66" ht="40" customHeight="1" x14ac:dyDescent="0.2">
      <c r="W30" s="30" t="s">
        <v>5</v>
      </c>
      <c r="X30" s="54"/>
      <c r="Y30" s="54"/>
      <c r="Z30" s="56">
        <v>13846.1538461538</v>
      </c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17"/>
      <c r="AL30" s="22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 spans="6:66" ht="40" customHeight="1" x14ac:dyDescent="0.2">
      <c r="W31" s="30" t="s">
        <v>6</v>
      </c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17"/>
      <c r="AL31" s="22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</row>
    <row r="32" spans="6:66" ht="40" customHeight="1" x14ac:dyDescent="0.2">
      <c r="W32" s="30" t="s">
        <v>7</v>
      </c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17"/>
      <c r="AL32" s="22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 spans="22:66" ht="40" customHeight="1" x14ac:dyDescent="0.2">
      <c r="W33" s="30" t="s">
        <v>8</v>
      </c>
      <c r="X33" s="54"/>
      <c r="Y33" s="54"/>
      <c r="Z33" s="54"/>
      <c r="AA33" s="54"/>
      <c r="AB33" s="54"/>
      <c r="AC33" s="54"/>
      <c r="AD33" s="54"/>
      <c r="AE33" s="54"/>
      <c r="AF33" s="54"/>
      <c r="AG33" s="56">
        <v>13846.1538461538</v>
      </c>
      <c r="AH33" s="54"/>
      <c r="AI33" s="54"/>
      <c r="AJ33" s="54"/>
      <c r="AK33" s="17"/>
      <c r="AL33" s="22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</row>
    <row r="34" spans="22:66" ht="40" customHeight="1" x14ac:dyDescent="0.2">
      <c r="W34" s="30" t="s">
        <v>9</v>
      </c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17"/>
      <c r="AL34" s="22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</row>
    <row r="35" spans="22:66" ht="40" customHeight="1" x14ac:dyDescent="0.2">
      <c r="W35" s="30" t="s">
        <v>10</v>
      </c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17"/>
      <c r="AL35" s="22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 spans="22:66" ht="40" customHeight="1" x14ac:dyDescent="0.2">
      <c r="W36" s="30" t="s">
        <v>11</v>
      </c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17"/>
      <c r="AL36" s="22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</row>
    <row r="37" spans="22:66" ht="40" customHeight="1" x14ac:dyDescent="0.2">
      <c r="W37" s="30" t="s">
        <v>12</v>
      </c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17"/>
      <c r="AL37" s="22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</row>
    <row r="46" spans="22:66" ht="40" customHeight="1" x14ac:dyDescent="0.2">
      <c r="V46" s="15">
        <v>14</v>
      </c>
      <c r="W46" s="15">
        <v>350</v>
      </c>
      <c r="X46">
        <f>W46/14</f>
        <v>25</v>
      </c>
    </row>
    <row r="47" spans="22:66" ht="40" customHeight="1" x14ac:dyDescent="0.2">
      <c r="V47" s="15">
        <v>14</v>
      </c>
      <c r="W47" s="15">
        <v>70</v>
      </c>
      <c r="X47">
        <f t="shared" ref="X47:X52" si="8">W47/14</f>
        <v>5</v>
      </c>
    </row>
    <row r="48" spans="22:66" ht="40" customHeight="1" x14ac:dyDescent="0.2">
      <c r="V48" s="15">
        <v>14</v>
      </c>
      <c r="W48" s="15">
        <v>350</v>
      </c>
      <c r="X48">
        <f t="shared" si="8"/>
        <v>25</v>
      </c>
    </row>
    <row r="49" spans="22:24" ht="40" customHeight="1" x14ac:dyDescent="0.2">
      <c r="V49" s="15">
        <v>14</v>
      </c>
      <c r="W49" s="15">
        <v>42</v>
      </c>
      <c r="X49">
        <f t="shared" si="8"/>
        <v>3</v>
      </c>
    </row>
    <row r="50" spans="22:24" ht="40" customHeight="1" x14ac:dyDescent="0.2">
      <c r="V50" s="15">
        <v>14</v>
      </c>
      <c r="W50" s="15">
        <v>182</v>
      </c>
      <c r="X50">
        <f t="shared" si="8"/>
        <v>13</v>
      </c>
    </row>
    <row r="51" spans="22:24" ht="40" customHeight="1" x14ac:dyDescent="0.2">
      <c r="V51" s="15">
        <v>14</v>
      </c>
      <c r="W51" s="15">
        <v>252</v>
      </c>
      <c r="X51">
        <f t="shared" si="8"/>
        <v>18</v>
      </c>
    </row>
    <row r="52" spans="22:24" ht="40" customHeight="1" x14ac:dyDescent="0.2">
      <c r="V52" s="15">
        <v>14</v>
      </c>
      <c r="W52" s="15">
        <v>468</v>
      </c>
      <c r="X52">
        <f t="shared" si="8"/>
        <v>33.428571428571431</v>
      </c>
    </row>
  </sheetData>
  <conditionalFormatting sqref="X10:AJ22">
    <cfRule type="colorScale" priority="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X25:AJ37">
    <cfRule type="colorScale" priority="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M10:AY22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M25:AY37">
    <cfRule type="colorScale" priority="10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B10:BN22">
    <cfRule type="colorScale" priority="1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82FF-7FCD-8A4D-88CE-3543B3EBE933}">
  <dimension ref="D2:Q34"/>
  <sheetViews>
    <sheetView showGridLines="0" tabSelected="1" topLeftCell="A10" zoomScaleNormal="100" workbookViewId="0">
      <selection activeCell="M22" sqref="M22"/>
    </sheetView>
  </sheetViews>
  <sheetFormatPr baseColWidth="10" defaultColWidth="8.33203125" defaultRowHeight="40" customHeight="1" x14ac:dyDescent="0.2"/>
  <sheetData>
    <row r="2" spans="4:17" ht="40" customHeight="1" x14ac:dyDescent="0.2">
      <c r="J2" t="s">
        <v>29</v>
      </c>
      <c r="K2" t="s">
        <v>39</v>
      </c>
    </row>
    <row r="9" spans="4:17" ht="40" customHeight="1" thickBot="1" x14ac:dyDescent="0.25">
      <c r="G9" s="4"/>
      <c r="H9" s="4"/>
      <c r="I9" s="4"/>
      <c r="J9" s="4"/>
      <c r="K9" s="4"/>
      <c r="L9" s="4"/>
      <c r="M9" s="4"/>
    </row>
    <row r="10" spans="4:17" ht="40" customHeight="1" thickBot="1" x14ac:dyDescent="0.25">
      <c r="G10" s="4"/>
      <c r="H10" s="4"/>
      <c r="I10" s="49" t="s">
        <v>29</v>
      </c>
      <c r="J10" s="50" t="s">
        <v>39</v>
      </c>
      <c r="K10" s="4"/>
    </row>
    <row r="11" spans="4:17" ht="40" customHeight="1" x14ac:dyDescent="0.2">
      <c r="G11" s="4"/>
      <c r="H11" s="4"/>
      <c r="I11" s="4"/>
      <c r="J11" s="4"/>
      <c r="K11" s="4"/>
    </row>
    <row r="12" spans="4:17" ht="40" customHeight="1" thickBot="1" x14ac:dyDescent="0.25">
      <c r="H12" s="4"/>
      <c r="I12" s="4"/>
      <c r="J12" s="4"/>
      <c r="K12" s="4"/>
      <c r="L12" s="4"/>
    </row>
    <row r="13" spans="4:17" ht="40" customHeight="1" thickBot="1" x14ac:dyDescent="0.25">
      <c r="D13" s="63" t="s">
        <v>48</v>
      </c>
      <c r="G13" s="4"/>
      <c r="H13" s="4"/>
      <c r="I13" s="58" t="s">
        <v>54</v>
      </c>
      <c r="J13" s="59">
        <f>7*11*14*14</f>
        <v>15092</v>
      </c>
      <c r="K13" s="4"/>
      <c r="L13" s="4"/>
      <c r="M13" s="4"/>
    </row>
    <row r="14" spans="4:17" ht="40" customHeight="1" x14ac:dyDescent="0.2">
      <c r="D14" s="63"/>
      <c r="F14" s="45"/>
      <c r="G14" s="37">
        <v>1</v>
      </c>
      <c r="H14" s="37">
        <v>2</v>
      </c>
      <c r="I14" s="37">
        <v>3</v>
      </c>
      <c r="J14" s="37">
        <v>4</v>
      </c>
      <c r="K14" s="37">
        <v>5</v>
      </c>
      <c r="L14" s="37">
        <v>6</v>
      </c>
      <c r="M14" s="37">
        <v>7</v>
      </c>
      <c r="N14" s="37">
        <v>8</v>
      </c>
      <c r="O14" s="37">
        <v>9</v>
      </c>
      <c r="P14" s="37">
        <v>10</v>
      </c>
      <c r="Q14" s="46">
        <v>11</v>
      </c>
    </row>
    <row r="15" spans="4:17" ht="40" customHeight="1" x14ac:dyDescent="0.2">
      <c r="F15" s="47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8"/>
    </row>
    <row r="16" spans="4:17" ht="40" customHeight="1" x14ac:dyDescent="0.2">
      <c r="F16" s="47">
        <v>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8"/>
    </row>
    <row r="17" spans="6:17" ht="40" customHeight="1" x14ac:dyDescent="0.2">
      <c r="F17" s="47">
        <v>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8"/>
    </row>
    <row r="18" spans="6:17" ht="40" customHeight="1" x14ac:dyDescent="0.2">
      <c r="F18" s="47">
        <v>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8"/>
    </row>
    <row r="19" spans="6:17" ht="40" customHeight="1" x14ac:dyDescent="0.2">
      <c r="F19" s="47">
        <v>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8"/>
    </row>
    <row r="20" spans="6:17" ht="40" customHeight="1" x14ac:dyDescent="0.2">
      <c r="F20" s="47">
        <v>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8"/>
    </row>
    <row r="21" spans="6:17" ht="40" customHeight="1" thickBot="1" x14ac:dyDescent="0.25">
      <c r="F21" s="60">
        <v>7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2"/>
    </row>
    <row r="22" spans="6:17" ht="40" customHeight="1" x14ac:dyDescent="0.2">
      <c r="G22" s="4"/>
      <c r="H22" s="4"/>
      <c r="I22" s="4"/>
      <c r="J22" s="4"/>
      <c r="K22" s="4"/>
      <c r="L22" s="4"/>
      <c r="M22" s="4"/>
      <c r="N22" s="4"/>
    </row>
    <row r="23" spans="6:17" ht="40" customHeight="1" x14ac:dyDescent="0.2">
      <c r="G23" s="4"/>
      <c r="H23" s="4"/>
      <c r="I23" s="4"/>
      <c r="J23" s="4"/>
      <c r="K23" s="4"/>
      <c r="L23" s="4"/>
      <c r="M23" s="4"/>
      <c r="N23" s="4"/>
    </row>
    <row r="24" spans="6:17" ht="40" customHeight="1" x14ac:dyDescent="0.2">
      <c r="G24" s="4"/>
      <c r="H24" s="4"/>
      <c r="I24" s="4"/>
      <c r="J24" s="4"/>
      <c r="K24" s="4"/>
      <c r="L24" s="4"/>
      <c r="M24" s="4"/>
      <c r="N24" s="4"/>
    </row>
    <row r="25" spans="6:17" ht="40" customHeight="1" x14ac:dyDescent="0.2">
      <c r="G25" s="4"/>
      <c r="H25" s="4"/>
      <c r="I25" s="4"/>
      <c r="J25" s="4"/>
      <c r="K25" s="4"/>
      <c r="L25" s="4"/>
      <c r="M25" s="4"/>
      <c r="N25" s="4"/>
    </row>
    <row r="26" spans="6:17" ht="40" customHeight="1" x14ac:dyDescent="0.2">
      <c r="G26" s="4"/>
      <c r="H26" s="4"/>
      <c r="I26" s="4"/>
      <c r="J26" s="4"/>
      <c r="K26" s="4"/>
      <c r="L26" s="4"/>
      <c r="M26" s="4"/>
      <c r="N26" s="4"/>
    </row>
    <row r="27" spans="6:17" ht="40" customHeight="1" x14ac:dyDescent="0.2">
      <c r="G27" s="4"/>
      <c r="H27" s="4"/>
      <c r="I27" s="4"/>
      <c r="J27" s="4"/>
      <c r="K27" s="4"/>
      <c r="L27" s="4"/>
      <c r="M27" s="4"/>
      <c r="N27" s="4"/>
    </row>
    <row r="28" spans="6:17" ht="40" customHeight="1" x14ac:dyDescent="0.2">
      <c r="G28" s="4"/>
      <c r="H28" s="4"/>
      <c r="I28" s="4"/>
      <c r="J28" s="4"/>
      <c r="K28" s="4"/>
      <c r="L28" s="4"/>
      <c r="M28" s="4"/>
      <c r="N28" s="4"/>
    </row>
    <row r="29" spans="6:17" ht="40" customHeight="1" x14ac:dyDescent="0.2">
      <c r="G29" s="4"/>
      <c r="H29" s="4"/>
      <c r="I29" s="4"/>
      <c r="J29" s="4"/>
      <c r="K29" s="4"/>
      <c r="L29" s="4"/>
      <c r="M29" s="4"/>
      <c r="N29" s="4"/>
    </row>
    <row r="30" spans="6:17" ht="40" customHeight="1" x14ac:dyDescent="0.2">
      <c r="G30" s="47">
        <v>16</v>
      </c>
      <c r="H30" s="4"/>
      <c r="I30" s="4"/>
      <c r="J30" s="4"/>
      <c r="K30" s="4"/>
      <c r="L30" s="4"/>
      <c r="M30" s="4"/>
      <c r="N30" s="48"/>
    </row>
    <row r="31" spans="6:17" ht="40" customHeight="1" x14ac:dyDescent="0.2">
      <c r="G31" s="47">
        <v>17</v>
      </c>
      <c r="H31" s="4"/>
      <c r="I31" s="4"/>
      <c r="J31" s="4"/>
      <c r="K31" s="4"/>
      <c r="L31" s="4"/>
      <c r="M31" s="4"/>
      <c r="N31" s="48"/>
    </row>
    <row r="32" spans="6:17" ht="40" customHeight="1" x14ac:dyDescent="0.2">
      <c r="G32" s="47">
        <v>18</v>
      </c>
      <c r="H32" s="4"/>
      <c r="I32" s="4"/>
      <c r="J32" s="4"/>
      <c r="K32" s="4"/>
      <c r="L32" s="4"/>
      <c r="M32" s="4"/>
      <c r="N32" s="48"/>
    </row>
    <row r="33" spans="7:14" ht="40" customHeight="1" x14ac:dyDescent="0.2">
      <c r="G33" s="47">
        <v>19</v>
      </c>
      <c r="H33" s="4"/>
      <c r="I33" s="4"/>
      <c r="J33" s="4"/>
      <c r="K33" s="4"/>
      <c r="L33" s="4"/>
      <c r="M33" s="4"/>
      <c r="N33" s="38"/>
    </row>
    <row r="34" spans="7:14" ht="40" customHeight="1" thickBot="1" x14ac:dyDescent="0.25">
      <c r="G34" s="39"/>
      <c r="H34" s="40"/>
      <c r="I34" s="40"/>
      <c r="J34" s="40"/>
      <c r="K34" s="40"/>
      <c r="L34" s="40"/>
      <c r="M34" s="40"/>
      <c r="N34" s="41"/>
    </row>
  </sheetData>
  <mergeCells count="1">
    <mergeCell ref="D13:D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 Matrix</vt:lpstr>
      <vt:lpstr>Step2</vt:lpstr>
      <vt:lpstr>Size Matrix</vt:lpstr>
      <vt:lpstr>Skeleton Layout</vt:lpstr>
      <vt:lpstr>Distance for Travel</vt:lpstr>
      <vt:lpstr>Final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Shankar Aadhithyaa</dc:creator>
  <cp:lastModifiedBy>Subramanian, Shankar Aadhithyaa</cp:lastModifiedBy>
  <dcterms:created xsi:type="dcterms:W3CDTF">2025-11-08T15:46:19Z</dcterms:created>
  <dcterms:modified xsi:type="dcterms:W3CDTF">2025-11-12T02:29:47Z</dcterms:modified>
</cp:coreProperties>
</file>