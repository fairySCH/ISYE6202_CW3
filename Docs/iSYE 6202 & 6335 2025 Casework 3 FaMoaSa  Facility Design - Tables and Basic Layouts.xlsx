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dev\GT\ISYE6202_Warehousing\CW3\Docs\"/>
    </mc:Choice>
  </mc:AlternateContent>
  <xr:revisionPtr revIDLastSave="0" documentId="13_ncr:1_{8D2C7938-DCF8-47FA-83AF-7DC16B1D8045}" xr6:coauthVersionLast="47" xr6:coauthVersionMax="47" xr10:uidLastSave="{00000000-0000-0000-0000-000000000000}"/>
  <bookViews>
    <workbookView xWindow="14295" yWindow="0" windowWidth="14610" windowHeight="15585" tabRatio="500" firstSheet="2" activeTab="2" xr2:uid="{00000000-000D-0000-FFFF-FFFF00000000}"/>
  </bookViews>
  <sheets>
    <sheet name="+1 Year Product Demand" sheetId="4" r:id="rId1"/>
    <sheet name="+1 Year Parts per Product" sheetId="5" r:id="rId2"/>
    <sheet name="Parts Specs" sheetId="6" r:id="rId3"/>
    <sheet name="Equip+Operator Specs" sheetId="7" r:id="rId4"/>
    <sheet name="Basic Layouts" sheetId="3" r:id="rId5"/>
    <sheet name="+2 to +5 Year Product Demand " sheetId="8" r:id="rId6"/>
    <sheet name="+2 to +5 Year Parts per Product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40" i="8" l="1"/>
  <c r="K39" i="8"/>
  <c r="K38" i="8"/>
  <c r="K37" i="8"/>
  <c r="K36" i="8"/>
  <c r="AA20" i="8"/>
  <c r="AA21" i="8" s="1"/>
  <c r="AA22" i="8" s="1"/>
  <c r="Z20" i="8"/>
  <c r="Z21" i="8" s="1"/>
  <c r="Z22" i="8" s="1"/>
  <c r="Y20" i="8"/>
  <c r="Y21" i="8" s="1"/>
  <c r="Y22" i="8" s="1"/>
  <c r="X20" i="8"/>
  <c r="X21" i="8" s="1"/>
  <c r="X22" i="8" s="1"/>
  <c r="W20" i="8"/>
  <c r="W21" i="8" s="1"/>
  <c r="W22" i="8" s="1"/>
  <c r="U74" i="8"/>
  <c r="T70" i="8"/>
  <c r="S70" i="8"/>
  <c r="R70" i="8"/>
  <c r="Q70" i="8"/>
  <c r="P70" i="8"/>
  <c r="U60" i="8"/>
  <c r="D28" i="4"/>
  <c r="E28" i="4"/>
  <c r="F28" i="4"/>
  <c r="G28" i="4"/>
  <c r="C28" i="4"/>
  <c r="H28" i="4" s="1"/>
  <c r="P28" i="4"/>
  <c r="U70" i="8" l="1"/>
  <c r="H32" i="4"/>
  <c r="H18" i="4"/>
</calcChain>
</file>

<file path=xl/sharedStrings.xml><?xml version="1.0" encoding="utf-8"?>
<sst xmlns="http://schemas.openxmlformats.org/spreadsheetml/2006/main" count="472" uniqueCount="148">
  <si>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</si>
  <si>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</si>
  <si>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</si>
  <si>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</si>
  <si>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</si>
  <si>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</si>
  <si>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</si>
  <si>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</si>
  <si>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</si>
  <si>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</si>
  <si>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</si>
  <si>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</si>
  <si>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</si>
  <si>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</si>
  <si>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</si>
  <si>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</si>
  <si>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</si>
  <si>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</si>
  <si>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</si>
  <si>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</si>
  <si>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</si>
  <si>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</si>
  <si>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</si>
  <si>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</si>
  <si>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</si>
  <si>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</si>
  <si>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</si>
  <si>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</si>
  <si>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</si>
  <si>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</si>
  <si>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</si>
  <si>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</si>
  <si>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</si>
  <si>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A1</t>
  </si>
  <si>
    <t>A2</t>
  </si>
  <si>
    <t>A3</t>
  </si>
  <si>
    <t>A4</t>
  </si>
  <si>
    <t>A5</t>
  </si>
  <si>
    <t>Step 1</t>
  </si>
  <si>
    <t>Step 2</t>
  </si>
  <si>
    <t>Step 3</t>
  </si>
  <si>
    <t>Step 4</t>
  </si>
  <si>
    <t>Step 5</t>
  </si>
  <si>
    <t>Step 6</t>
  </si>
  <si>
    <t>Step 7</t>
  </si>
  <si>
    <t>Process</t>
  </si>
  <si>
    <t>Part</t>
  </si>
  <si>
    <t>Total</t>
  </si>
  <si>
    <t>Year</t>
  </si>
  <si>
    <t>Overall</t>
  </si>
  <si>
    <t>Average</t>
  </si>
  <si>
    <t>KL</t>
  </si>
  <si>
    <t>KM</t>
  </si>
  <si>
    <t>LM</t>
  </si>
  <si>
    <t>KLM</t>
  </si>
  <si>
    <t>AB</t>
  </si>
  <si>
    <t>AC</t>
  </si>
  <si>
    <t>ABC</t>
  </si>
  <si>
    <t>CD</t>
  </si>
  <si>
    <t>ABCD</t>
  </si>
  <si>
    <t>IJ</t>
  </si>
  <si>
    <t>EF</t>
  </si>
  <si>
    <t>EG</t>
  </si>
  <si>
    <t>FG</t>
  </si>
  <si>
    <t>EFG</t>
  </si>
  <si>
    <t>Equipment</t>
  </si>
  <si>
    <t>Installed price</t>
  </si>
  <si>
    <t>Relocation cost</t>
  </si>
  <si>
    <t>Useful life (years)</t>
  </si>
  <si>
    <t>Maintenance access</t>
  </si>
  <si>
    <t>Outbound</t>
  </si>
  <si>
    <t>Inbound</t>
  </si>
  <si>
    <t>A-B-C-D Category Equipment</t>
  </si>
  <si>
    <t>E-F-G Category Equipment</t>
  </si>
  <si>
    <t>K-L-M Category Equipment</t>
  </si>
  <si>
    <t>3 feet *6 feet</t>
  </si>
  <si>
    <t>6 feet * 16 feet</t>
  </si>
  <si>
    <t>22 feet *15 feet spacial envelope</t>
  </si>
  <si>
    <t>Inbound  Outbound</t>
  </si>
  <si>
    <t>1 foot sharable with others</t>
  </si>
  <si>
    <t>14 feet *7 feet spacial envelope</t>
  </si>
  <si>
    <r>
      <rPr>
        <b/>
        <sz val="12"/>
        <color theme="1"/>
        <rFont val="맑은 고딕"/>
        <family val="2"/>
        <scheme val="minor"/>
      </rPr>
      <t>H-I-J Category Equipmen</t>
    </r>
    <r>
      <rPr>
        <sz val="12"/>
        <color theme="1"/>
        <rFont val="맑은 고딕"/>
        <family val="2"/>
        <scheme val="minor"/>
      </rPr>
      <t>t</t>
    </r>
  </si>
  <si>
    <t>Number of operators</t>
  </si>
  <si>
    <t>2 C3</t>
  </si>
  <si>
    <t>1/2 C2</t>
  </si>
  <si>
    <t>1 C1+1/4 C2</t>
  </si>
  <si>
    <t>1 C1 + 1/2 C3</t>
  </si>
  <si>
    <t>Operator</t>
  </si>
  <si>
    <t>Hourly Cost</t>
  </si>
  <si>
    <t>C1</t>
  </si>
  <si>
    <t>C2</t>
  </si>
  <si>
    <t>C3</t>
  </si>
  <si>
    <t>Inbound     Outbound</t>
  </si>
  <si>
    <t>7 feet * 8 feet</t>
  </si>
  <si>
    <t>14 feet *14 feet spacial envelope</t>
  </si>
  <si>
    <t>5 feet * 24 feet</t>
  </si>
  <si>
    <t>14 feet *36 feet spacial envelope</t>
  </si>
  <si>
    <t>2 feet sharable with others</t>
  </si>
  <si>
    <t>X (in.)</t>
  </si>
  <si>
    <t>Y (in.)</t>
  </si>
  <si>
    <t>Z (in.)</t>
  </si>
  <si>
    <t>Weight (lbs)</t>
  </si>
  <si>
    <t>Dimensions</t>
  </si>
  <si>
    <t>Jig of product being assembled</t>
  </si>
  <si>
    <t>Cart with jig of next product</t>
  </si>
  <si>
    <t>Cart with jig of assembled product</t>
  </si>
  <si>
    <t>Empty cart for current jig</t>
  </si>
  <si>
    <t>Fixture ready to secure next jig</t>
  </si>
  <si>
    <t>Parts feeder</t>
  </si>
  <si>
    <t>11ft*15ft spacial envelope</t>
  </si>
  <si>
    <t>11ft*11ft spacial envelope</t>
  </si>
  <si>
    <t>3ft*5ft Workbench</t>
  </si>
  <si>
    <t>3ft*9ft Workbench</t>
  </si>
  <si>
    <t>Materials</t>
  </si>
  <si>
    <t>Price/unit</t>
  </si>
  <si>
    <t>Identifier</t>
  </si>
  <si>
    <t>Basic Layouts</t>
  </si>
  <si>
    <t>Professor Benoit Montreuil</t>
  </si>
  <si>
    <t>Standard Deviation on 2025 Demand Forecast for Each Product</t>
  </si>
  <si>
    <t>2025 Demand Forecast for Each Product</t>
  </si>
  <si>
    <t>Expected Coefficient of Variation of Weekly 2025 Demand for Each Product</t>
  </si>
  <si>
    <t>Parts Specifications</t>
  </si>
  <si>
    <t>Equipment &amp; Operator Specifications</t>
  </si>
  <si>
    <t>B1</t>
  </si>
  <si>
    <t>B2</t>
  </si>
  <si>
    <t>B3</t>
  </si>
  <si>
    <t>B4</t>
  </si>
  <si>
    <t>+1</t>
  </si>
  <si>
    <t>+2</t>
  </si>
  <si>
    <t>+3</t>
  </si>
  <si>
    <t>+4</t>
  </si>
  <si>
    <t>+5</t>
  </si>
  <si>
    <t>Yearly Demand Forecast for Each Product in the +2 to +5 Year Horizon</t>
  </si>
  <si>
    <t>Standard Deviation on Each Year's Demand Forecast for Each Product in the +2 to +5 Year Horizon</t>
  </si>
  <si>
    <t>Expected Average Weekly Demand for Each Product in the +2 to +5 Year Horizon</t>
  </si>
  <si>
    <t>Expected Coefficient of Variation of Weekly Demand for Each Product in the +2 to +5 Year Horizon</t>
  </si>
  <si>
    <t>Year +2 to +5 Parts Demand induced by Product Demand from Client Assembly Factories A and B</t>
  </si>
  <si>
    <t>Number of Parts per Assembled Product Unit Planned to be Demanded in 2026-2029 by Clients A and B</t>
  </si>
  <si>
    <t>Year +1 Product Demand from Client Assembly Factory</t>
  </si>
  <si>
    <t>Georgia Tech ISYE 6202 + 6336 FALL 2025</t>
  </si>
  <si>
    <t>Year +2 to +5 Product Demand from Client Assembly Factory</t>
  </si>
  <si>
    <t>Year +1 Parts Demand induced by Product Demand from Client Assembly Factory</t>
  </si>
  <si>
    <t xml:space="preserve">Parts per Assembled Product Unit Demanded in Year +1 </t>
  </si>
  <si>
    <t>Year +1 Demand Forecast for Each Product of Clients A and B</t>
  </si>
  <si>
    <t>Standard Deviation on Year +1  Demand Forecast for Each Product of Clients A and B</t>
  </si>
  <si>
    <t>Year +1  Weekly Demand Forecast for Each Product of Clients A and B</t>
  </si>
  <si>
    <t>Expected Coefficient of Variation of Weekly Year +1 Demand for Each Product of Clients A and B</t>
  </si>
  <si>
    <t>CASEWORK 3: FaMoaSa FaMoaSa Manufacturing &amp; Warehousing Facility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</si>
</sst>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_);_(&quot;$&quot;* \(#,##0\);_(&quot;$&quot;* &quot;-&quot;_);_(@_)"/>
    <numFmt numFmtId="177" formatCode="_(&quot;$&quot;* #,##0.00_);_(&quot;$&quot;* \(#,##0.00\);_(&quot;$&quot;* &quot;-&quot;??_);_(@_)"/>
    <numFmt numFmtId="178" formatCode="_([$$-409]* #,##0_);_([$$-409]* \(#,##0\);_([$$-409]* &quot;-&quot;_);_(@_)"/>
  </numFmts>
  <fonts count="12" x14ac:knownFonts="1">
    <font>
      <sz val="12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b/>
      <sz val="12"/>
      <color theme="1"/>
      <name val="맑은 고딕"/>
      <family val="2"/>
      <scheme val="minor"/>
    </font>
    <font>
      <u/>
      <sz val="12"/>
      <color theme="10"/>
      <name val="맑은 고딕"/>
      <family val="2"/>
      <scheme val="minor"/>
    </font>
    <font>
      <u/>
      <sz val="12"/>
      <color theme="11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9"/>
      <color rgb="FF000000"/>
      <name val="맑은 고딕"/>
      <family val="2"/>
      <scheme val="minor"/>
    </font>
    <font>
      <sz val="9"/>
      <color theme="1"/>
      <name val="맑은 고딕"/>
      <family val="2"/>
      <scheme val="minor"/>
    </font>
    <font>
      <sz val="9"/>
      <color theme="0"/>
      <name val="맑은 고딕"/>
      <family val="2"/>
      <scheme val="minor"/>
    </font>
    <font>
      <sz val="12"/>
      <color rgb="FF000000"/>
      <name val="맑은 고딕"/>
      <family val="2"/>
      <scheme val="minor"/>
    </font>
    <font>
      <i/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rgb="FFFCD5B4"/>
        <bgColor rgb="FF000000"/>
      </patternFill>
    </fill>
  </fills>
  <borders count="5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/>
      <right/>
      <top style="mediumDashed">
        <color auto="1"/>
      </top>
      <bottom/>
      <diagonal/>
    </border>
    <border>
      <left/>
      <right/>
      <top/>
      <bottom style="mediumDashed">
        <color auto="1"/>
      </bottom>
      <diagonal/>
    </border>
    <border>
      <left style="thick">
        <color auto="1"/>
      </left>
      <right/>
      <top style="mediumDashed">
        <color auto="1"/>
      </top>
      <bottom/>
      <diagonal/>
    </border>
    <border>
      <left/>
      <right style="thick">
        <color auto="1"/>
      </right>
      <top style="mediumDashed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mediumDashed">
        <color auto="1"/>
      </bottom>
      <diagonal/>
    </border>
    <border>
      <left/>
      <right style="thick">
        <color auto="1"/>
      </right>
      <top/>
      <bottom style="mediumDashed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 style="dashed">
        <color auto="1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mediumDashed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82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177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69">
    <xf numFmtId="0" fontId="0" fillId="0" borderId="0" xfId="0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4" borderId="6" xfId="0" applyFill="1" applyBorder="1"/>
    <xf numFmtId="0" fontId="0" fillId="4" borderId="8" xfId="0" applyFill="1" applyBorder="1"/>
    <xf numFmtId="0" fontId="0" fillId="2" borderId="1" xfId="0" applyFill="1" applyBorder="1" applyAlignment="1">
      <alignment horizontal="center"/>
    </xf>
    <xf numFmtId="0" fontId="0" fillId="4" borderId="5" xfId="0" applyFill="1" applyBorder="1"/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" fontId="0" fillId="4" borderId="6" xfId="0" applyNumberFormat="1" applyFill="1" applyBorder="1" applyAlignment="1">
      <alignment horizontal="center"/>
    </xf>
    <xf numFmtId="1" fontId="0" fillId="4" borderId="8" xfId="0" applyNumberFormat="1" applyFill="1" applyBorder="1" applyAlignment="1">
      <alignment horizontal="center"/>
    </xf>
    <xf numFmtId="9" fontId="0" fillId="4" borderId="0" xfId="0" applyNumberFormat="1" applyFill="1" applyAlignment="1">
      <alignment horizontal="center"/>
    </xf>
    <xf numFmtId="9" fontId="0" fillId="4" borderId="6" xfId="0" applyNumberFormat="1" applyFill="1" applyBorder="1" applyAlignment="1">
      <alignment horizontal="center"/>
    </xf>
    <xf numFmtId="9" fontId="0" fillId="4" borderId="11" xfId="0" applyNumberFormat="1" applyFill="1" applyBorder="1" applyAlignment="1">
      <alignment horizontal="center"/>
    </xf>
    <xf numFmtId="9" fontId="0" fillId="4" borderId="10" xfId="0" applyNumberFormat="1" applyFill="1" applyBorder="1" applyAlignment="1">
      <alignment horizontal="center"/>
    </xf>
    <xf numFmtId="9" fontId="0" fillId="4" borderId="7" xfId="0" applyNumberFormat="1" applyFill="1" applyBorder="1" applyAlignment="1">
      <alignment horizontal="center"/>
    </xf>
    <xf numFmtId="9" fontId="0" fillId="4" borderId="8" xfId="0" applyNumberFormat="1" applyFill="1" applyBorder="1" applyAlignment="1">
      <alignment horizontal="center"/>
    </xf>
    <xf numFmtId="0" fontId="2" fillId="0" borderId="0" xfId="0" applyFont="1"/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178" fontId="0" fillId="4" borderId="0" xfId="0" applyNumberFormat="1" applyFill="1" applyAlignment="1">
      <alignment horizontal="center"/>
    </xf>
    <xf numFmtId="178" fontId="0" fillId="4" borderId="7" xfId="0" applyNumberFormat="1" applyFill="1" applyBorder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/>
    </xf>
    <xf numFmtId="0" fontId="0" fillId="13" borderId="0" xfId="0" applyFill="1"/>
    <xf numFmtId="0" fontId="0" fillId="13" borderId="22" xfId="0" applyFill="1" applyBorder="1"/>
    <xf numFmtId="0" fontId="0" fillId="13" borderId="23" xfId="0" applyFill="1" applyBorder="1"/>
    <xf numFmtId="0" fontId="0" fillId="13" borderId="24" xfId="0" applyFill="1" applyBorder="1"/>
    <xf numFmtId="0" fontId="0" fillId="13" borderId="25" xfId="0" applyFill="1" applyBorder="1"/>
    <xf numFmtId="0" fontId="0" fillId="13" borderId="26" xfId="0" applyFill="1" applyBorder="1"/>
    <xf numFmtId="0" fontId="0" fillId="13" borderId="27" xfId="0" applyFill="1" applyBorder="1"/>
    <xf numFmtId="0" fontId="0" fillId="13" borderId="28" xfId="0" applyFill="1" applyBorder="1"/>
    <xf numFmtId="0" fontId="0" fillId="13" borderId="29" xfId="0" applyFill="1" applyBorder="1"/>
    <xf numFmtId="0" fontId="0" fillId="11" borderId="30" xfId="0" applyFill="1" applyBorder="1"/>
    <xf numFmtId="0" fontId="0" fillId="11" borderId="31" xfId="0" applyFill="1" applyBorder="1"/>
    <xf numFmtId="0" fontId="0" fillId="11" borderId="31" xfId="0" applyFill="1" applyBorder="1" applyAlignment="1">
      <alignment horizontal="center"/>
    </xf>
    <xf numFmtId="0" fontId="0" fillId="11" borderId="32" xfId="0" applyFill="1" applyBorder="1"/>
    <xf numFmtId="0" fontId="0" fillId="11" borderId="33" xfId="0" applyFill="1" applyBorder="1"/>
    <xf numFmtId="0" fontId="0" fillId="11" borderId="34" xfId="0" applyFill="1" applyBorder="1"/>
    <xf numFmtId="0" fontId="0" fillId="11" borderId="35" xfId="0" applyFill="1" applyBorder="1"/>
    <xf numFmtId="0" fontId="0" fillId="11" borderId="36" xfId="0" applyFill="1" applyBorder="1"/>
    <xf numFmtId="0" fontId="0" fillId="11" borderId="37" xfId="0" applyFill="1" applyBorder="1"/>
    <xf numFmtId="0" fontId="0" fillId="10" borderId="30" xfId="0" applyFill="1" applyBorder="1"/>
    <xf numFmtId="0" fontId="0" fillId="10" borderId="31" xfId="0" applyFill="1" applyBorder="1"/>
    <xf numFmtId="0" fontId="0" fillId="10" borderId="31" xfId="0" applyFill="1" applyBorder="1" applyAlignment="1">
      <alignment horizontal="center"/>
    </xf>
    <xf numFmtId="0" fontId="0" fillId="10" borderId="32" xfId="0" applyFill="1" applyBorder="1"/>
    <xf numFmtId="0" fontId="0" fillId="10" borderId="33" xfId="0" applyFill="1" applyBorder="1"/>
    <xf numFmtId="0" fontId="0" fillId="10" borderId="34" xfId="0" applyFill="1" applyBorder="1"/>
    <xf numFmtId="0" fontId="0" fillId="10" borderId="35" xfId="0" applyFill="1" applyBorder="1"/>
    <xf numFmtId="0" fontId="0" fillId="12" borderId="36" xfId="0" applyFill="1" applyBorder="1"/>
    <xf numFmtId="0" fontId="0" fillId="10" borderId="36" xfId="0" applyFill="1" applyBorder="1"/>
    <xf numFmtId="0" fontId="0" fillId="10" borderId="37" xfId="0" applyFill="1" applyBorder="1"/>
    <xf numFmtId="0" fontId="0" fillId="13" borderId="23" xfId="0" applyFill="1" applyBorder="1" applyAlignment="1">
      <alignment horizontal="center"/>
    </xf>
    <xf numFmtId="0" fontId="0" fillId="16" borderId="35" xfId="0" applyFill="1" applyBorder="1"/>
    <xf numFmtId="0" fontId="0" fillId="16" borderId="36" xfId="0" applyFill="1" applyBorder="1"/>
    <xf numFmtId="0" fontId="0" fillId="16" borderId="37" xfId="0" applyFill="1" applyBorder="1"/>
    <xf numFmtId="0" fontId="0" fillId="17" borderId="33" xfId="0" applyFill="1" applyBorder="1"/>
    <xf numFmtId="0" fontId="0" fillId="17" borderId="34" xfId="0" applyFill="1" applyBorder="1"/>
    <xf numFmtId="0" fontId="0" fillId="6" borderId="33" xfId="0" applyFill="1" applyBorder="1"/>
    <xf numFmtId="0" fontId="0" fillId="6" borderId="0" xfId="0" applyFill="1"/>
    <xf numFmtId="0" fontId="0" fillId="6" borderId="34" xfId="0" applyFill="1" applyBorder="1"/>
    <xf numFmtId="0" fontId="0" fillId="6" borderId="35" xfId="0" applyFill="1" applyBorder="1"/>
    <xf numFmtId="0" fontId="0" fillId="6" borderId="36" xfId="0" applyFill="1" applyBorder="1"/>
    <xf numFmtId="0" fontId="0" fillId="6" borderId="37" xfId="0" applyFill="1" applyBorder="1"/>
    <xf numFmtId="0" fontId="0" fillId="6" borderId="36" xfId="0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178" fontId="0" fillId="4" borderId="2" xfId="0" applyNumberFormat="1" applyFill="1" applyBorder="1" applyAlignment="1">
      <alignment horizontal="center"/>
    </xf>
    <xf numFmtId="178" fontId="0" fillId="4" borderId="3" xfId="0" applyNumberFormat="1" applyFill="1" applyBorder="1" applyAlignment="1">
      <alignment horizontal="center"/>
    </xf>
    <xf numFmtId="0" fontId="0" fillId="4" borderId="0" xfId="0" applyFill="1"/>
    <xf numFmtId="0" fontId="0" fillId="3" borderId="26" xfId="0" applyFill="1" applyBorder="1"/>
    <xf numFmtId="0" fontId="0" fillId="3" borderId="27" xfId="0" applyFill="1" applyBorder="1"/>
    <xf numFmtId="0" fontId="0" fillId="4" borderId="41" xfId="0" applyFill="1" applyBorder="1"/>
    <xf numFmtId="0" fontId="0" fillId="4" borderId="40" xfId="0" applyFill="1" applyBorder="1"/>
    <xf numFmtId="0" fontId="0" fillId="4" borderId="42" xfId="0" applyFill="1" applyBorder="1"/>
    <xf numFmtId="0" fontId="0" fillId="4" borderId="26" xfId="0" applyFill="1" applyBorder="1"/>
    <xf numFmtId="0" fontId="0" fillId="4" borderId="27" xfId="0" applyFill="1" applyBorder="1"/>
    <xf numFmtId="0" fontId="0" fillId="4" borderId="43" xfId="0" applyFill="1" applyBorder="1"/>
    <xf numFmtId="0" fontId="0" fillId="3" borderId="0" xfId="0" applyFill="1"/>
    <xf numFmtId="0" fontId="0" fillId="5" borderId="0" xfId="0" applyFill="1"/>
    <xf numFmtId="0" fontId="0" fillId="4" borderId="48" xfId="0" applyFill="1" applyBorder="1"/>
    <xf numFmtId="0" fontId="0" fillId="4" borderId="49" xfId="0" applyFill="1" applyBorder="1"/>
    <xf numFmtId="0" fontId="0" fillId="6" borderId="0" xfId="0" applyFill="1" applyAlignment="1">
      <alignment horizontal="center" vertical="center"/>
    </xf>
    <xf numFmtId="0" fontId="0" fillId="4" borderId="50" xfId="0" applyFill="1" applyBorder="1" applyAlignment="1">
      <alignment horizontal="center" vertical="center" textRotation="90"/>
    </xf>
    <xf numFmtId="0" fontId="0" fillId="4" borderId="7" xfId="0" applyFill="1" applyBorder="1"/>
    <xf numFmtId="0" fontId="0" fillId="4" borderId="4" xfId="0" applyFill="1" applyBorder="1"/>
    <xf numFmtId="0" fontId="0" fillId="3" borderId="33" xfId="0" applyFill="1" applyBorder="1"/>
    <xf numFmtId="0" fontId="0" fillId="3" borderId="34" xfId="0" applyFill="1" applyBorder="1"/>
    <xf numFmtId="0" fontId="0" fillId="3" borderId="35" xfId="0" applyFill="1" applyBorder="1"/>
    <xf numFmtId="0" fontId="0" fillId="3" borderId="37" xfId="0" applyFill="1" applyBorder="1"/>
    <xf numFmtId="0" fontId="0" fillId="9" borderId="33" xfId="0" applyFill="1" applyBorder="1"/>
    <xf numFmtId="0" fontId="0" fillId="9" borderId="34" xfId="0" applyFill="1" applyBorder="1"/>
    <xf numFmtId="0" fontId="0" fillId="9" borderId="35" xfId="0" applyFill="1" applyBorder="1"/>
    <xf numFmtId="0" fontId="0" fillId="9" borderId="37" xfId="0" applyFill="1" applyBorder="1"/>
    <xf numFmtId="0" fontId="0" fillId="4" borderId="11" xfId="0" applyFill="1" applyBorder="1"/>
    <xf numFmtId="0" fontId="0" fillId="4" borderId="10" xfId="0" applyFill="1" applyBorder="1"/>
    <xf numFmtId="0" fontId="0" fillId="4" borderId="52" xfId="0" applyFill="1" applyBorder="1"/>
    <xf numFmtId="0" fontId="0" fillId="4" borderId="51" xfId="0" applyFill="1" applyBorder="1"/>
    <xf numFmtId="0" fontId="0" fillId="4" borderId="56" xfId="0" applyFill="1" applyBorder="1"/>
    <xf numFmtId="0" fontId="0" fillId="4" borderId="57" xfId="0" applyFill="1" applyBorder="1"/>
    <xf numFmtId="0" fontId="0" fillId="0" borderId="23" xfId="0" applyBorder="1"/>
    <xf numFmtId="0" fontId="0" fillId="3" borderId="1" xfId="0" applyFill="1" applyBorder="1" applyAlignment="1">
      <alignment horizontal="center"/>
    </xf>
    <xf numFmtId="176" fontId="0" fillId="4" borderId="1" xfId="57" applyNumberFormat="1" applyFont="1" applyFill="1" applyBorder="1"/>
    <xf numFmtId="176" fontId="0" fillId="4" borderId="2" xfId="57" applyNumberFormat="1" applyFont="1" applyFill="1" applyBorder="1" applyAlignment="1">
      <alignment horizontal="center"/>
    </xf>
    <xf numFmtId="176" fontId="0" fillId="4" borderId="2" xfId="57" applyNumberFormat="1" applyFont="1" applyFill="1" applyBorder="1"/>
    <xf numFmtId="176" fontId="0" fillId="4" borderId="3" xfId="57" applyNumberFormat="1" applyFont="1" applyFill="1" applyBorder="1"/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center"/>
    </xf>
    <xf numFmtId="1" fontId="0" fillId="0" borderId="0" xfId="0" applyNumberFormat="1"/>
    <xf numFmtId="0" fontId="0" fillId="2" borderId="15" xfId="0" applyFill="1" applyBorder="1" applyAlignment="1">
      <alignment horizontal="center"/>
    </xf>
    <xf numFmtId="0" fontId="10" fillId="4" borderId="14" xfId="0" applyFont="1" applyFill="1" applyBorder="1" applyAlignment="1">
      <alignment horizontal="center"/>
    </xf>
    <xf numFmtId="1" fontId="0" fillId="4" borderId="12" xfId="0" applyNumberFormat="1" applyFill="1" applyBorder="1" applyAlignment="1">
      <alignment horizontal="center"/>
    </xf>
    <xf numFmtId="1" fontId="10" fillId="4" borderId="14" xfId="0" applyNumberFormat="1" applyFont="1" applyFill="1" applyBorder="1" applyAlignment="1">
      <alignment horizontal="center"/>
    </xf>
    <xf numFmtId="9" fontId="0" fillId="4" borderId="12" xfId="0" applyNumberFormat="1" applyFill="1" applyBorder="1" applyAlignment="1">
      <alignment horizontal="center"/>
    </xf>
    <xf numFmtId="9" fontId="0" fillId="4" borderId="13" xfId="0" applyNumberFormat="1" applyFill="1" applyBorder="1" applyAlignment="1">
      <alignment horizontal="center"/>
    </xf>
    <xf numFmtId="1" fontId="0" fillId="4" borderId="13" xfId="0" applyNumberFormat="1" applyFill="1" applyBorder="1" applyAlignment="1">
      <alignment horizontal="center"/>
    </xf>
    <xf numFmtId="9" fontId="10" fillId="4" borderId="14" xfId="0" applyNumberFormat="1" applyFont="1" applyFill="1" applyBorder="1" applyAlignment="1">
      <alignment horizontal="center"/>
    </xf>
    <xf numFmtId="1" fontId="0" fillId="4" borderId="11" xfId="0" applyNumberFormat="1" applyFill="1" applyBorder="1" applyAlignment="1">
      <alignment horizontal="center"/>
    </xf>
    <xf numFmtId="1" fontId="0" fillId="4" borderId="10" xfId="0" applyNumberFormat="1" applyFill="1" applyBorder="1" applyAlignment="1">
      <alignment horizontal="center"/>
    </xf>
    <xf numFmtId="1" fontId="0" fillId="4" borderId="7" xfId="0" applyNumberFormat="1" applyFill="1" applyBorder="1" applyAlignment="1">
      <alignment horizontal="center"/>
    </xf>
    <xf numFmtId="1" fontId="0" fillId="4" borderId="0" xfId="0" applyNumberFormat="1" applyFill="1" applyAlignment="1">
      <alignment horizontal="center"/>
    </xf>
    <xf numFmtId="0" fontId="9" fillId="19" borderId="12" xfId="0" applyFont="1" applyFill="1" applyBorder="1" applyAlignment="1">
      <alignment horizontal="center"/>
    </xf>
    <xf numFmtId="0" fontId="9" fillId="19" borderId="13" xfId="0" applyFont="1" applyFill="1" applyBorder="1" applyAlignment="1">
      <alignment horizontal="center"/>
    </xf>
    <xf numFmtId="0" fontId="9" fillId="19" borderId="14" xfId="0" applyFont="1" applyFill="1" applyBorder="1" applyAlignment="1">
      <alignment horizontal="center"/>
    </xf>
    <xf numFmtId="0" fontId="0" fillId="2" borderId="15" xfId="0" quotePrefix="1" applyFill="1" applyBorder="1" applyAlignment="1">
      <alignment horizontal="center"/>
    </xf>
    <xf numFmtId="0" fontId="0" fillId="2" borderId="2" xfId="0" quotePrefix="1" applyFill="1" applyBorder="1" applyAlignment="1">
      <alignment horizontal="center"/>
    </xf>
    <xf numFmtId="0" fontId="0" fillId="2" borderId="3" xfId="0" quotePrefix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4" borderId="44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45" xfId="0" applyFill="1" applyBorder="1" applyAlignment="1">
      <alignment horizontal="center"/>
    </xf>
    <xf numFmtId="0" fontId="0" fillId="16" borderId="30" xfId="0" applyFill="1" applyBorder="1" applyAlignment="1">
      <alignment horizontal="center" vertical="center"/>
    </xf>
    <xf numFmtId="0" fontId="0" fillId="16" borderId="31" xfId="0" applyFill="1" applyBorder="1" applyAlignment="1">
      <alignment horizontal="center" vertical="center"/>
    </xf>
    <xf numFmtId="0" fontId="0" fillId="16" borderId="32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 textRotation="90"/>
    </xf>
    <xf numFmtId="0" fontId="0" fillId="9" borderId="16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9" borderId="19" xfId="0" applyFill="1" applyBorder="1" applyAlignment="1">
      <alignment horizontal="center"/>
    </xf>
    <xf numFmtId="0" fontId="0" fillId="9" borderId="20" xfId="0" applyFill="1" applyBorder="1" applyAlignment="1">
      <alignment horizontal="center"/>
    </xf>
    <xf numFmtId="0" fontId="0" fillId="9" borderId="21" xfId="0" applyFill="1" applyBorder="1" applyAlignment="1">
      <alignment horizontal="center"/>
    </xf>
    <xf numFmtId="0" fontId="5" fillId="10" borderId="0" xfId="0" applyFont="1" applyFill="1" applyAlignment="1">
      <alignment horizontal="center" vertical="center"/>
    </xf>
    <xf numFmtId="0" fontId="2" fillId="15" borderId="33" xfId="0" applyFont="1" applyFill="1" applyBorder="1" applyAlignment="1">
      <alignment horizontal="center" vertical="center" wrapText="1"/>
    </xf>
    <xf numFmtId="0" fontId="2" fillId="15" borderId="0" xfId="0" applyFont="1" applyFill="1" applyAlignment="1">
      <alignment horizontal="center" vertical="center" wrapText="1"/>
    </xf>
    <xf numFmtId="0" fontId="2" fillId="15" borderId="34" xfId="0" applyFont="1" applyFill="1" applyBorder="1" applyAlignment="1">
      <alignment horizontal="center" vertical="center" wrapText="1"/>
    </xf>
    <xf numFmtId="0" fontId="2" fillId="15" borderId="35" xfId="0" applyFont="1" applyFill="1" applyBorder="1" applyAlignment="1">
      <alignment horizontal="center" vertical="center" wrapText="1"/>
    </xf>
    <xf numFmtId="0" fontId="2" fillId="15" borderId="36" xfId="0" applyFont="1" applyFill="1" applyBorder="1" applyAlignment="1">
      <alignment horizontal="center" vertical="center" wrapText="1"/>
    </xf>
    <xf numFmtId="0" fontId="2" fillId="15" borderId="37" xfId="0" applyFont="1" applyFill="1" applyBorder="1" applyAlignment="1">
      <alignment horizontal="center" vertical="center" wrapText="1"/>
    </xf>
    <xf numFmtId="0" fontId="0" fillId="4" borderId="46" xfId="0" applyFill="1" applyBorder="1" applyAlignment="1">
      <alignment horizontal="center" vertical="center" textRotation="90"/>
    </xf>
    <xf numFmtId="0" fontId="0" fillId="4" borderId="47" xfId="0" applyFill="1" applyBorder="1" applyAlignment="1">
      <alignment horizontal="center" vertical="center" textRotation="90"/>
    </xf>
    <xf numFmtId="0" fontId="0" fillId="3" borderId="41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0" fontId="0" fillId="15" borderId="30" xfId="0" applyFill="1" applyBorder="1" applyAlignment="1">
      <alignment horizontal="center"/>
    </xf>
    <xf numFmtId="0" fontId="0" fillId="15" borderId="31" xfId="0" applyFill="1" applyBorder="1" applyAlignment="1">
      <alignment horizontal="center"/>
    </xf>
    <xf numFmtId="0" fontId="0" fillId="15" borderId="32" xfId="0" applyFill="1" applyBorder="1" applyAlignment="1">
      <alignment horizontal="center"/>
    </xf>
    <xf numFmtId="0" fontId="0" fillId="14" borderId="16" xfId="0" applyFill="1" applyBorder="1" applyAlignment="1">
      <alignment horizontal="center" vertical="center" textRotation="90"/>
    </xf>
    <xf numFmtId="0" fontId="0" fillId="14" borderId="18" xfId="0" applyFill="1" applyBorder="1" applyAlignment="1">
      <alignment horizontal="center" vertical="center" textRotation="90"/>
    </xf>
    <xf numFmtId="0" fontId="0" fillId="14" borderId="38" xfId="0" applyFill="1" applyBorder="1" applyAlignment="1">
      <alignment horizontal="center" vertical="center" textRotation="90"/>
    </xf>
    <xf numFmtId="0" fontId="0" fillId="14" borderId="39" xfId="0" applyFill="1" applyBorder="1" applyAlignment="1">
      <alignment horizontal="center" vertical="center" textRotation="90"/>
    </xf>
    <xf numFmtId="0" fontId="0" fillId="14" borderId="19" xfId="0" applyFill="1" applyBorder="1" applyAlignment="1">
      <alignment horizontal="center" vertical="center" textRotation="90"/>
    </xf>
    <xf numFmtId="0" fontId="0" fillId="14" borderId="21" xfId="0" applyFill="1" applyBorder="1" applyAlignment="1">
      <alignment horizontal="center" vertical="center" textRotation="90"/>
    </xf>
    <xf numFmtId="0" fontId="0" fillId="7" borderId="16" xfId="0" applyFill="1" applyBorder="1" applyAlignment="1">
      <alignment horizontal="center" vertical="center" textRotation="90"/>
    </xf>
    <xf numFmtId="0" fontId="0" fillId="7" borderId="18" xfId="0" applyFill="1" applyBorder="1" applyAlignment="1">
      <alignment horizontal="center" vertical="center" textRotation="90"/>
    </xf>
    <xf numFmtId="0" fontId="0" fillId="7" borderId="38" xfId="0" applyFill="1" applyBorder="1" applyAlignment="1">
      <alignment horizontal="center" vertical="center" textRotation="90"/>
    </xf>
    <xf numFmtId="0" fontId="0" fillId="7" borderId="39" xfId="0" applyFill="1" applyBorder="1" applyAlignment="1">
      <alignment horizontal="center" vertical="center" textRotation="90"/>
    </xf>
    <xf numFmtId="0" fontId="0" fillId="7" borderId="19" xfId="0" applyFill="1" applyBorder="1" applyAlignment="1">
      <alignment horizontal="center" vertical="center" textRotation="90"/>
    </xf>
    <xf numFmtId="0" fontId="0" fillId="7" borderId="21" xfId="0" applyFill="1" applyBorder="1" applyAlignment="1">
      <alignment horizontal="center" vertical="center" textRotation="90"/>
    </xf>
    <xf numFmtId="0" fontId="0" fillId="16" borderId="0" xfId="0" applyFill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7" fillId="8" borderId="51" xfId="0" applyFont="1" applyFill="1" applyBorder="1" applyAlignment="1">
      <alignment horizontal="center" vertical="center" wrapText="1"/>
    </xf>
    <xf numFmtId="0" fontId="7" fillId="8" borderId="36" xfId="0" applyFont="1" applyFill="1" applyBorder="1" applyAlignment="1">
      <alignment horizontal="center" vertical="center" wrapText="1"/>
    </xf>
    <xf numFmtId="0" fontId="7" fillId="8" borderId="52" xfId="0" applyFont="1" applyFill="1" applyBorder="1" applyAlignment="1">
      <alignment horizontal="center" vertical="center" wrapText="1"/>
    </xf>
    <xf numFmtId="0" fontId="0" fillId="3" borderId="30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7" fillId="9" borderId="31" xfId="0" applyFont="1" applyFill="1" applyBorder="1" applyAlignment="1">
      <alignment horizontal="center" vertical="center" wrapText="1"/>
    </xf>
    <xf numFmtId="0" fontId="7" fillId="9" borderId="54" xfId="0" applyFont="1" applyFill="1" applyBorder="1" applyAlignment="1">
      <alignment horizontal="center" vertical="center" wrapText="1"/>
    </xf>
    <xf numFmtId="0" fontId="7" fillId="9" borderId="36" xfId="0" applyFont="1" applyFill="1" applyBorder="1" applyAlignment="1">
      <alignment horizontal="center" vertical="center" wrapText="1"/>
    </xf>
    <xf numFmtId="0" fontId="7" fillId="9" borderId="52" xfId="0" applyFont="1" applyFill="1" applyBorder="1" applyAlignment="1">
      <alignment horizontal="center" vertical="center" wrapText="1"/>
    </xf>
    <xf numFmtId="0" fontId="8" fillId="12" borderId="30" xfId="0" applyFont="1" applyFill="1" applyBorder="1" applyAlignment="1">
      <alignment horizontal="center" vertical="center" wrapText="1"/>
    </xf>
    <xf numFmtId="0" fontId="8" fillId="12" borderId="31" xfId="0" applyFont="1" applyFill="1" applyBorder="1" applyAlignment="1">
      <alignment horizontal="center" vertical="center" wrapText="1"/>
    </xf>
    <xf numFmtId="0" fontId="8" fillId="12" borderId="54" xfId="0" applyFont="1" applyFill="1" applyBorder="1" applyAlignment="1">
      <alignment horizontal="center" vertical="center" wrapText="1"/>
    </xf>
    <xf numFmtId="0" fontId="8" fillId="12" borderId="55" xfId="0" applyFont="1" applyFill="1" applyBorder="1" applyAlignment="1">
      <alignment horizontal="center" vertical="center" wrapText="1"/>
    </xf>
    <xf numFmtId="0" fontId="8" fillId="12" borderId="7" xfId="0" applyFont="1" applyFill="1" applyBorder="1" applyAlignment="1">
      <alignment horizontal="center" vertical="center" wrapText="1"/>
    </xf>
    <xf numFmtId="0" fontId="8" fillId="12" borderId="8" xfId="0" applyFont="1" applyFill="1" applyBorder="1" applyAlignment="1">
      <alignment horizontal="center" vertical="center" wrapText="1"/>
    </xf>
    <xf numFmtId="0" fontId="0" fillId="6" borderId="30" xfId="0" applyFill="1" applyBorder="1" applyAlignment="1">
      <alignment horizontal="center"/>
    </xf>
    <xf numFmtId="0" fontId="0" fillId="6" borderId="31" xfId="0" applyFill="1" applyBorder="1" applyAlignment="1">
      <alignment horizontal="center"/>
    </xf>
    <xf numFmtId="0" fontId="0" fillId="6" borderId="32" xfId="0" applyFill="1" applyBorder="1" applyAlignment="1">
      <alignment horizontal="center"/>
    </xf>
    <xf numFmtId="0" fontId="0" fillId="4" borderId="9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8" fillId="12" borderId="32" xfId="0" applyFont="1" applyFill="1" applyBorder="1" applyAlignment="1">
      <alignment horizontal="center" vertical="center" wrapText="1"/>
    </xf>
    <xf numFmtId="0" fontId="8" fillId="12" borderId="35" xfId="0" applyFont="1" applyFill="1" applyBorder="1" applyAlignment="1">
      <alignment horizontal="center" vertical="center" wrapText="1"/>
    </xf>
    <xf numFmtId="0" fontId="8" fillId="12" borderId="36" xfId="0" applyFont="1" applyFill="1" applyBorder="1" applyAlignment="1">
      <alignment horizontal="center" vertical="center" wrapText="1"/>
    </xf>
    <xf numFmtId="0" fontId="8" fillId="12" borderId="37" xfId="0" applyFont="1" applyFill="1" applyBorder="1" applyAlignment="1">
      <alignment horizontal="center" vertical="center" wrapText="1"/>
    </xf>
    <xf numFmtId="0" fontId="6" fillId="18" borderId="53" xfId="0" applyFont="1" applyFill="1" applyBorder="1" applyAlignment="1">
      <alignment horizontal="center" vertical="center" wrapText="1"/>
    </xf>
    <xf numFmtId="0" fontId="6" fillId="18" borderId="31" xfId="0" applyFont="1" applyFill="1" applyBorder="1" applyAlignment="1">
      <alignment horizontal="center" vertical="center" wrapText="1"/>
    </xf>
    <xf numFmtId="0" fontId="6" fillId="18" borderId="51" xfId="0" applyFont="1" applyFill="1" applyBorder="1" applyAlignment="1">
      <alignment horizontal="center" vertical="center" wrapText="1"/>
    </xf>
    <xf numFmtId="0" fontId="6" fillId="18" borderId="36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7" fillId="9" borderId="51" xfId="0" applyFont="1" applyFill="1" applyBorder="1" applyAlignment="1">
      <alignment horizontal="center" vertical="center" wrapText="1"/>
    </xf>
    <xf numFmtId="0" fontId="0" fillId="2" borderId="30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6" fillId="18" borderId="30" xfId="0" applyFont="1" applyFill="1" applyBorder="1" applyAlignment="1">
      <alignment horizontal="center" vertical="center" wrapText="1"/>
    </xf>
    <xf numFmtId="0" fontId="6" fillId="18" borderId="32" xfId="0" applyFont="1" applyFill="1" applyBorder="1" applyAlignment="1">
      <alignment horizontal="center" vertical="center" wrapText="1"/>
    </xf>
    <xf numFmtId="0" fontId="6" fillId="18" borderId="35" xfId="0" applyFont="1" applyFill="1" applyBorder="1" applyAlignment="1">
      <alignment horizontal="center" vertical="center" wrapText="1"/>
    </xf>
    <xf numFmtId="0" fontId="6" fillId="18" borderId="37" xfId="0" applyFont="1" applyFill="1" applyBorder="1" applyAlignment="1">
      <alignment horizontal="center" vertical="center" wrapText="1"/>
    </xf>
    <xf numFmtId="0" fontId="7" fillId="9" borderId="30" xfId="0" applyFont="1" applyFill="1" applyBorder="1" applyAlignment="1">
      <alignment horizontal="center" vertical="center" wrapText="1"/>
    </xf>
    <xf numFmtId="0" fontId="7" fillId="9" borderId="32" xfId="0" applyFont="1" applyFill="1" applyBorder="1" applyAlignment="1">
      <alignment horizontal="center" vertical="center" wrapText="1"/>
    </xf>
    <xf numFmtId="0" fontId="7" fillId="9" borderId="35" xfId="0" applyFont="1" applyFill="1" applyBorder="1" applyAlignment="1">
      <alignment horizontal="center" vertical="center" wrapText="1"/>
    </xf>
    <xf numFmtId="0" fontId="7" fillId="9" borderId="37" xfId="0" applyFont="1" applyFill="1" applyBorder="1" applyAlignment="1">
      <alignment horizontal="center" vertical="center" wrapText="1"/>
    </xf>
  </cellXfs>
  <cellStyles count="282">
    <cellStyle name="열어 본 하이퍼링크" xfId="2" builtinId="9" hidden="1"/>
    <cellStyle name="열어 본 하이퍼링크" xfId="4" builtinId="9" hidden="1"/>
    <cellStyle name="열어 본 하이퍼링크" xfId="6" builtinId="9" hidden="1"/>
    <cellStyle name="열어 본 하이퍼링크" xfId="8" builtinId="9" hidden="1"/>
    <cellStyle name="열어 본 하이퍼링크" xfId="10" builtinId="9" hidden="1"/>
    <cellStyle name="열어 본 하이퍼링크" xfId="12" builtinId="9" hidden="1"/>
    <cellStyle name="열어 본 하이퍼링크" xfId="14" builtinId="9" hidden="1"/>
    <cellStyle name="열어 본 하이퍼링크" xfId="16" builtinId="9" hidden="1"/>
    <cellStyle name="열어 본 하이퍼링크" xfId="18" builtinId="9" hidden="1"/>
    <cellStyle name="열어 본 하이퍼링크" xfId="20" builtinId="9" hidden="1"/>
    <cellStyle name="열어 본 하이퍼링크" xfId="22" builtinId="9" hidden="1"/>
    <cellStyle name="열어 본 하이퍼링크" xfId="24" builtinId="9" hidden="1"/>
    <cellStyle name="열어 본 하이퍼링크" xfId="26" builtinId="9" hidden="1"/>
    <cellStyle name="열어 본 하이퍼링크" xfId="28" builtinId="9" hidden="1"/>
    <cellStyle name="열어 본 하이퍼링크" xfId="30" builtinId="9" hidden="1"/>
    <cellStyle name="열어 본 하이퍼링크" xfId="32" builtinId="9" hidden="1"/>
    <cellStyle name="열어 본 하이퍼링크" xfId="34" builtinId="9" hidden="1"/>
    <cellStyle name="열어 본 하이퍼링크" xfId="36" builtinId="9" hidden="1"/>
    <cellStyle name="열어 본 하이퍼링크" xfId="38" builtinId="9" hidden="1"/>
    <cellStyle name="열어 본 하이퍼링크" xfId="40" builtinId="9" hidden="1"/>
    <cellStyle name="열어 본 하이퍼링크" xfId="42" builtinId="9" hidden="1"/>
    <cellStyle name="열어 본 하이퍼링크" xfId="44" builtinId="9" hidden="1"/>
    <cellStyle name="열어 본 하이퍼링크" xfId="46" builtinId="9" hidden="1"/>
    <cellStyle name="열어 본 하이퍼링크" xfId="48" builtinId="9" hidden="1"/>
    <cellStyle name="열어 본 하이퍼링크" xfId="50" builtinId="9" hidden="1"/>
    <cellStyle name="열어 본 하이퍼링크" xfId="52" builtinId="9" hidden="1"/>
    <cellStyle name="열어 본 하이퍼링크" xfId="54" builtinId="9" hidden="1"/>
    <cellStyle name="열어 본 하이퍼링크" xfId="56" builtinId="9" hidden="1"/>
    <cellStyle name="열어 본 하이퍼링크" xfId="59" builtinId="9" hidden="1"/>
    <cellStyle name="열어 본 하이퍼링크" xfId="61" builtinId="9" hidden="1"/>
    <cellStyle name="열어 본 하이퍼링크" xfId="63" builtinId="9" hidden="1"/>
    <cellStyle name="열어 본 하이퍼링크" xfId="65" builtinId="9" hidden="1"/>
    <cellStyle name="열어 본 하이퍼링크" xfId="67" builtinId="9" hidden="1"/>
    <cellStyle name="열어 본 하이퍼링크" xfId="69" builtinId="9" hidden="1"/>
    <cellStyle name="열어 본 하이퍼링크" xfId="71" builtinId="9" hidden="1"/>
    <cellStyle name="열어 본 하이퍼링크" xfId="73" builtinId="9" hidden="1"/>
    <cellStyle name="열어 본 하이퍼링크" xfId="75" builtinId="9" hidden="1"/>
    <cellStyle name="열어 본 하이퍼링크" xfId="77" builtinId="9" hidden="1"/>
    <cellStyle name="열어 본 하이퍼링크" xfId="79" builtinId="9" hidden="1"/>
    <cellStyle name="열어 본 하이퍼링크" xfId="81" builtinId="9" hidden="1"/>
    <cellStyle name="열어 본 하이퍼링크" xfId="83" builtinId="9" hidden="1"/>
    <cellStyle name="열어 본 하이퍼링크" xfId="85" builtinId="9" hidden="1"/>
    <cellStyle name="열어 본 하이퍼링크" xfId="87" builtinId="9" hidden="1"/>
    <cellStyle name="열어 본 하이퍼링크" xfId="89" builtinId="9" hidden="1"/>
    <cellStyle name="열어 본 하이퍼링크" xfId="91" builtinId="9" hidden="1"/>
    <cellStyle name="열어 본 하이퍼링크" xfId="93" builtinId="9" hidden="1"/>
    <cellStyle name="열어 본 하이퍼링크" xfId="95" builtinId="9" hidden="1"/>
    <cellStyle name="열어 본 하이퍼링크" xfId="97" builtinId="9" hidden="1"/>
    <cellStyle name="열어 본 하이퍼링크" xfId="99" builtinId="9" hidden="1"/>
    <cellStyle name="열어 본 하이퍼링크" xfId="101" builtinId="9" hidden="1"/>
    <cellStyle name="열어 본 하이퍼링크" xfId="103" builtinId="9" hidden="1"/>
    <cellStyle name="열어 본 하이퍼링크" xfId="105" builtinId="9" hidden="1"/>
    <cellStyle name="열어 본 하이퍼링크" xfId="107" builtinId="9" hidden="1"/>
    <cellStyle name="열어 본 하이퍼링크" xfId="109" builtinId="9" hidden="1"/>
    <cellStyle name="열어 본 하이퍼링크" xfId="111" builtinId="9" hidden="1"/>
    <cellStyle name="열어 본 하이퍼링크" xfId="113" builtinId="9" hidden="1"/>
    <cellStyle name="열어 본 하이퍼링크" xfId="115" builtinId="9" hidden="1"/>
    <cellStyle name="열어 본 하이퍼링크" xfId="117" builtinId="9" hidden="1"/>
    <cellStyle name="열어 본 하이퍼링크" xfId="119" builtinId="9" hidden="1"/>
    <cellStyle name="열어 본 하이퍼링크" xfId="121" builtinId="9" hidden="1"/>
    <cellStyle name="열어 본 하이퍼링크" xfId="123" builtinId="9" hidden="1"/>
    <cellStyle name="열어 본 하이퍼링크" xfId="125" builtinId="9" hidden="1"/>
    <cellStyle name="열어 본 하이퍼링크" xfId="127" builtinId="9" hidden="1"/>
    <cellStyle name="열어 본 하이퍼링크" xfId="129" builtinId="9" hidden="1"/>
    <cellStyle name="열어 본 하이퍼링크" xfId="131" builtinId="9" hidden="1"/>
    <cellStyle name="열어 본 하이퍼링크" xfId="133" builtinId="9" hidden="1"/>
    <cellStyle name="열어 본 하이퍼링크" xfId="135" builtinId="9" hidden="1"/>
    <cellStyle name="열어 본 하이퍼링크" xfId="137" builtinId="9" hidden="1"/>
    <cellStyle name="열어 본 하이퍼링크" xfId="139" builtinId="9" hidden="1"/>
    <cellStyle name="열어 본 하이퍼링크" xfId="141" builtinId="9" hidden="1"/>
    <cellStyle name="열어 본 하이퍼링크" xfId="143" builtinId="9" hidden="1"/>
    <cellStyle name="열어 본 하이퍼링크" xfId="145" builtinId="9" hidden="1"/>
    <cellStyle name="열어 본 하이퍼링크" xfId="147" builtinId="9" hidden="1"/>
    <cellStyle name="열어 본 하이퍼링크" xfId="149" builtinId="9" hidden="1"/>
    <cellStyle name="열어 본 하이퍼링크" xfId="151" builtinId="9" hidden="1"/>
    <cellStyle name="열어 본 하이퍼링크" xfId="153" builtinId="9" hidden="1"/>
    <cellStyle name="열어 본 하이퍼링크" xfId="155" builtinId="9" hidden="1"/>
    <cellStyle name="열어 본 하이퍼링크" xfId="157" builtinId="9" hidden="1"/>
    <cellStyle name="열어 본 하이퍼링크" xfId="159" builtinId="9" hidden="1"/>
    <cellStyle name="열어 본 하이퍼링크" xfId="161" builtinId="9" hidden="1"/>
    <cellStyle name="열어 본 하이퍼링크" xfId="163" builtinId="9" hidden="1"/>
    <cellStyle name="열어 본 하이퍼링크" xfId="165" builtinId="9" hidden="1"/>
    <cellStyle name="열어 본 하이퍼링크" xfId="167" builtinId="9" hidden="1"/>
    <cellStyle name="열어 본 하이퍼링크" xfId="169" builtinId="9" hidden="1"/>
    <cellStyle name="열어 본 하이퍼링크" xfId="171" builtinId="9" hidden="1"/>
    <cellStyle name="열어 본 하이퍼링크" xfId="173" builtinId="9" hidden="1"/>
    <cellStyle name="열어 본 하이퍼링크" xfId="175" builtinId="9" hidden="1"/>
    <cellStyle name="열어 본 하이퍼링크" xfId="177" builtinId="9" hidden="1"/>
    <cellStyle name="열어 본 하이퍼링크" xfId="179" builtinId="9" hidden="1"/>
    <cellStyle name="열어 본 하이퍼링크" xfId="181" builtinId="9" hidden="1"/>
    <cellStyle name="열어 본 하이퍼링크" xfId="183" builtinId="9" hidden="1"/>
    <cellStyle name="열어 본 하이퍼링크" xfId="185" builtinId="9" hidden="1"/>
    <cellStyle name="열어 본 하이퍼링크" xfId="187" builtinId="9" hidden="1"/>
    <cellStyle name="열어 본 하이퍼링크" xfId="189" builtinId="9" hidden="1"/>
    <cellStyle name="열어 본 하이퍼링크" xfId="191" builtinId="9" hidden="1"/>
    <cellStyle name="열어 본 하이퍼링크" xfId="193" builtinId="9" hidden="1"/>
    <cellStyle name="열어 본 하이퍼링크" xfId="195" builtinId="9" hidden="1"/>
    <cellStyle name="열어 본 하이퍼링크" xfId="197" builtinId="9" hidden="1"/>
    <cellStyle name="열어 본 하이퍼링크" xfId="199" builtinId="9" hidden="1"/>
    <cellStyle name="열어 본 하이퍼링크" xfId="201" builtinId="9" hidden="1"/>
    <cellStyle name="열어 본 하이퍼링크" xfId="203" builtinId="9" hidden="1"/>
    <cellStyle name="열어 본 하이퍼링크" xfId="205" builtinId="9" hidden="1"/>
    <cellStyle name="열어 본 하이퍼링크" xfId="207" builtinId="9" hidden="1"/>
    <cellStyle name="열어 본 하이퍼링크" xfId="209" builtinId="9" hidden="1"/>
    <cellStyle name="열어 본 하이퍼링크" xfId="211" builtinId="9" hidden="1"/>
    <cellStyle name="열어 본 하이퍼링크" xfId="213" builtinId="9" hidden="1"/>
    <cellStyle name="열어 본 하이퍼링크" xfId="215" builtinId="9" hidden="1"/>
    <cellStyle name="열어 본 하이퍼링크" xfId="217" builtinId="9" hidden="1"/>
    <cellStyle name="열어 본 하이퍼링크" xfId="219" builtinId="9" hidden="1"/>
    <cellStyle name="열어 본 하이퍼링크" xfId="221" builtinId="9" hidden="1"/>
    <cellStyle name="열어 본 하이퍼링크" xfId="223" builtinId="9" hidden="1"/>
    <cellStyle name="열어 본 하이퍼링크" xfId="225" builtinId="9" hidden="1"/>
    <cellStyle name="열어 본 하이퍼링크" xfId="227" builtinId="9" hidden="1"/>
    <cellStyle name="열어 본 하이퍼링크" xfId="229" builtinId="9" hidden="1"/>
    <cellStyle name="열어 본 하이퍼링크" xfId="231" builtinId="9" hidden="1"/>
    <cellStyle name="열어 본 하이퍼링크" xfId="233" builtinId="9" hidden="1"/>
    <cellStyle name="열어 본 하이퍼링크" xfId="235" builtinId="9" hidden="1"/>
    <cellStyle name="열어 본 하이퍼링크" xfId="237" builtinId="9" hidden="1"/>
    <cellStyle name="열어 본 하이퍼링크" xfId="239" builtinId="9" hidden="1"/>
    <cellStyle name="열어 본 하이퍼링크" xfId="241" builtinId="9" hidden="1"/>
    <cellStyle name="열어 본 하이퍼링크" xfId="243" builtinId="9" hidden="1"/>
    <cellStyle name="열어 본 하이퍼링크" xfId="245" builtinId="9" hidden="1"/>
    <cellStyle name="열어 본 하이퍼링크" xfId="247" builtinId="9" hidden="1"/>
    <cellStyle name="열어 본 하이퍼링크" xfId="249" builtinId="9" hidden="1"/>
    <cellStyle name="열어 본 하이퍼링크" xfId="251" builtinId="9" hidden="1"/>
    <cellStyle name="열어 본 하이퍼링크" xfId="253" builtinId="9" hidden="1"/>
    <cellStyle name="열어 본 하이퍼링크" xfId="255" builtinId="9" hidden="1"/>
    <cellStyle name="열어 본 하이퍼링크" xfId="257" builtinId="9" hidden="1"/>
    <cellStyle name="열어 본 하이퍼링크" xfId="259" builtinId="9" hidden="1"/>
    <cellStyle name="열어 본 하이퍼링크" xfId="261" builtinId="9" hidden="1"/>
    <cellStyle name="열어 본 하이퍼링크" xfId="263" builtinId="9" hidden="1"/>
    <cellStyle name="열어 본 하이퍼링크" xfId="265" builtinId="9" hidden="1"/>
    <cellStyle name="열어 본 하이퍼링크" xfId="267" builtinId="9" hidden="1"/>
    <cellStyle name="열어 본 하이퍼링크" xfId="269" builtinId="9" hidden="1"/>
    <cellStyle name="열어 본 하이퍼링크" xfId="271" builtinId="9" hidden="1"/>
    <cellStyle name="열어 본 하이퍼링크" xfId="273" builtinId="9" hidden="1"/>
    <cellStyle name="열어 본 하이퍼링크" xfId="275" builtinId="9" hidden="1"/>
    <cellStyle name="열어 본 하이퍼링크" xfId="277" builtinId="9" hidden="1"/>
    <cellStyle name="열어 본 하이퍼링크" xfId="279" builtinId="9" hidden="1"/>
    <cellStyle name="열어 본 하이퍼링크" xfId="281" builtinId="9" hidden="1"/>
    <cellStyle name="통화" xfId="57" builtinId="4"/>
    <cellStyle name="표준" xfId="0" builtinId="0"/>
    <cellStyle name="하이퍼링크" xfId="1" builtinId="8" hidden="1"/>
    <cellStyle name="하이퍼링크" xfId="3" builtinId="8" hidden="1"/>
    <cellStyle name="하이퍼링크" xfId="5" builtinId="8" hidden="1"/>
    <cellStyle name="하이퍼링크" xfId="7" builtinId="8" hidden="1"/>
    <cellStyle name="하이퍼링크" xfId="9" builtinId="8" hidden="1"/>
    <cellStyle name="하이퍼링크" xfId="11" builtinId="8" hidden="1"/>
    <cellStyle name="하이퍼링크" xfId="13" builtinId="8" hidden="1"/>
    <cellStyle name="하이퍼링크" xfId="15" builtinId="8" hidden="1"/>
    <cellStyle name="하이퍼링크" xfId="17" builtinId="8" hidden="1"/>
    <cellStyle name="하이퍼링크" xfId="19" builtinId="8" hidden="1"/>
    <cellStyle name="하이퍼링크" xfId="21" builtinId="8" hidden="1"/>
    <cellStyle name="하이퍼링크" xfId="23" builtinId="8" hidden="1"/>
    <cellStyle name="하이퍼링크" xfId="25" builtinId="8" hidden="1"/>
    <cellStyle name="하이퍼링크" xfId="27" builtinId="8" hidden="1"/>
    <cellStyle name="하이퍼링크" xfId="29" builtinId="8" hidden="1"/>
    <cellStyle name="하이퍼링크" xfId="31" builtinId="8" hidden="1"/>
    <cellStyle name="하이퍼링크" xfId="33" builtinId="8" hidden="1"/>
    <cellStyle name="하이퍼링크" xfId="35" builtinId="8" hidden="1"/>
    <cellStyle name="하이퍼링크" xfId="37" builtinId="8" hidden="1"/>
    <cellStyle name="하이퍼링크" xfId="39" builtinId="8" hidden="1"/>
    <cellStyle name="하이퍼링크" xfId="41" builtinId="8" hidden="1"/>
    <cellStyle name="하이퍼링크" xfId="43" builtinId="8" hidden="1"/>
    <cellStyle name="하이퍼링크" xfId="45" builtinId="8" hidden="1"/>
    <cellStyle name="하이퍼링크" xfId="47" builtinId="8" hidden="1"/>
    <cellStyle name="하이퍼링크" xfId="49" builtinId="8" hidden="1"/>
    <cellStyle name="하이퍼링크" xfId="51" builtinId="8" hidden="1"/>
    <cellStyle name="하이퍼링크" xfId="53" builtinId="8" hidden="1"/>
    <cellStyle name="하이퍼링크" xfId="55" builtinId="8" hidden="1"/>
    <cellStyle name="하이퍼링크" xfId="58" builtinId="8" hidden="1"/>
    <cellStyle name="하이퍼링크" xfId="60" builtinId="8" hidden="1"/>
    <cellStyle name="하이퍼링크" xfId="62" builtinId="8" hidden="1"/>
    <cellStyle name="하이퍼링크" xfId="64" builtinId="8" hidden="1"/>
    <cellStyle name="하이퍼링크" xfId="66" builtinId="8" hidden="1"/>
    <cellStyle name="하이퍼링크" xfId="68" builtinId="8" hidden="1"/>
    <cellStyle name="하이퍼링크" xfId="70" builtinId="8" hidden="1"/>
    <cellStyle name="하이퍼링크" xfId="72" builtinId="8" hidden="1"/>
    <cellStyle name="하이퍼링크" xfId="74" builtinId="8" hidden="1"/>
    <cellStyle name="하이퍼링크" xfId="76" builtinId="8" hidden="1"/>
    <cellStyle name="하이퍼링크" xfId="78" builtinId="8" hidden="1"/>
    <cellStyle name="하이퍼링크" xfId="80" builtinId="8" hidden="1"/>
    <cellStyle name="하이퍼링크" xfId="82" builtinId="8" hidden="1"/>
    <cellStyle name="하이퍼링크" xfId="84" builtinId="8" hidden="1"/>
    <cellStyle name="하이퍼링크" xfId="86" builtinId="8" hidden="1"/>
    <cellStyle name="하이퍼링크" xfId="88" builtinId="8" hidden="1"/>
    <cellStyle name="하이퍼링크" xfId="90" builtinId="8" hidden="1"/>
    <cellStyle name="하이퍼링크" xfId="92" builtinId="8" hidden="1"/>
    <cellStyle name="하이퍼링크" xfId="94" builtinId="8" hidden="1"/>
    <cellStyle name="하이퍼링크" xfId="96" builtinId="8" hidden="1"/>
    <cellStyle name="하이퍼링크" xfId="98" builtinId="8" hidden="1"/>
    <cellStyle name="하이퍼링크" xfId="100" builtinId="8" hidden="1"/>
    <cellStyle name="하이퍼링크" xfId="102" builtinId="8" hidden="1"/>
    <cellStyle name="하이퍼링크" xfId="104" builtinId="8" hidden="1"/>
    <cellStyle name="하이퍼링크" xfId="106" builtinId="8" hidden="1"/>
    <cellStyle name="하이퍼링크" xfId="108" builtinId="8" hidden="1"/>
    <cellStyle name="하이퍼링크" xfId="110" builtinId="8" hidden="1"/>
    <cellStyle name="하이퍼링크" xfId="112" builtinId="8" hidden="1"/>
    <cellStyle name="하이퍼링크" xfId="114" builtinId="8" hidden="1"/>
    <cellStyle name="하이퍼링크" xfId="116" builtinId="8" hidden="1"/>
    <cellStyle name="하이퍼링크" xfId="118" builtinId="8" hidden="1"/>
    <cellStyle name="하이퍼링크" xfId="120" builtinId="8" hidden="1"/>
    <cellStyle name="하이퍼링크" xfId="122" builtinId="8" hidden="1"/>
    <cellStyle name="하이퍼링크" xfId="124" builtinId="8" hidden="1"/>
    <cellStyle name="하이퍼링크" xfId="126" builtinId="8" hidden="1"/>
    <cellStyle name="하이퍼링크" xfId="128" builtinId="8" hidden="1"/>
    <cellStyle name="하이퍼링크" xfId="130" builtinId="8" hidden="1"/>
    <cellStyle name="하이퍼링크" xfId="132" builtinId="8" hidden="1"/>
    <cellStyle name="하이퍼링크" xfId="134" builtinId="8" hidden="1"/>
    <cellStyle name="하이퍼링크" xfId="136" builtinId="8" hidden="1"/>
    <cellStyle name="하이퍼링크" xfId="138" builtinId="8" hidden="1"/>
    <cellStyle name="하이퍼링크" xfId="140" builtinId="8" hidden="1"/>
    <cellStyle name="하이퍼링크" xfId="142" builtinId="8" hidden="1"/>
    <cellStyle name="하이퍼링크" xfId="144" builtinId="8" hidden="1"/>
    <cellStyle name="하이퍼링크" xfId="146" builtinId="8" hidden="1"/>
    <cellStyle name="하이퍼링크" xfId="148" builtinId="8" hidden="1"/>
    <cellStyle name="하이퍼링크" xfId="150" builtinId="8" hidden="1"/>
    <cellStyle name="하이퍼링크" xfId="152" builtinId="8" hidden="1"/>
    <cellStyle name="하이퍼링크" xfId="154" builtinId="8" hidden="1"/>
    <cellStyle name="하이퍼링크" xfId="156" builtinId="8" hidden="1"/>
    <cellStyle name="하이퍼링크" xfId="158" builtinId="8" hidden="1"/>
    <cellStyle name="하이퍼링크" xfId="160" builtinId="8" hidden="1"/>
    <cellStyle name="하이퍼링크" xfId="162" builtinId="8" hidden="1"/>
    <cellStyle name="하이퍼링크" xfId="164" builtinId="8" hidden="1"/>
    <cellStyle name="하이퍼링크" xfId="166" builtinId="8" hidden="1"/>
    <cellStyle name="하이퍼링크" xfId="168" builtinId="8" hidden="1"/>
    <cellStyle name="하이퍼링크" xfId="170" builtinId="8" hidden="1"/>
    <cellStyle name="하이퍼링크" xfId="172" builtinId="8" hidden="1"/>
    <cellStyle name="하이퍼링크" xfId="174" builtinId="8" hidden="1"/>
    <cellStyle name="하이퍼링크" xfId="176" builtinId="8" hidden="1"/>
    <cellStyle name="하이퍼링크" xfId="178" builtinId="8" hidden="1"/>
    <cellStyle name="하이퍼링크" xfId="180" builtinId="8" hidden="1"/>
    <cellStyle name="하이퍼링크" xfId="182" builtinId="8" hidden="1"/>
    <cellStyle name="하이퍼링크" xfId="184" builtinId="8" hidden="1"/>
    <cellStyle name="하이퍼링크" xfId="186" builtinId="8" hidden="1"/>
    <cellStyle name="하이퍼링크" xfId="188" builtinId="8" hidden="1"/>
    <cellStyle name="하이퍼링크" xfId="190" builtinId="8" hidden="1"/>
    <cellStyle name="하이퍼링크" xfId="192" builtinId="8" hidden="1"/>
    <cellStyle name="하이퍼링크" xfId="194" builtinId="8" hidden="1"/>
    <cellStyle name="하이퍼링크" xfId="196" builtinId="8" hidden="1"/>
    <cellStyle name="하이퍼링크" xfId="198" builtinId="8" hidden="1"/>
    <cellStyle name="하이퍼링크" xfId="200" builtinId="8" hidden="1"/>
    <cellStyle name="하이퍼링크" xfId="202" builtinId="8" hidden="1"/>
    <cellStyle name="하이퍼링크" xfId="204" builtinId="8" hidden="1"/>
    <cellStyle name="하이퍼링크" xfId="206" builtinId="8" hidden="1"/>
    <cellStyle name="하이퍼링크" xfId="208" builtinId="8" hidden="1"/>
    <cellStyle name="하이퍼링크" xfId="210" builtinId="8" hidden="1"/>
    <cellStyle name="하이퍼링크" xfId="212" builtinId="8" hidden="1"/>
    <cellStyle name="하이퍼링크" xfId="214" builtinId="8" hidden="1"/>
    <cellStyle name="하이퍼링크" xfId="216" builtinId="8" hidden="1"/>
    <cellStyle name="하이퍼링크" xfId="218" builtinId="8" hidden="1"/>
    <cellStyle name="하이퍼링크" xfId="220" builtinId="8" hidden="1"/>
    <cellStyle name="하이퍼링크" xfId="222" builtinId="8" hidden="1"/>
    <cellStyle name="하이퍼링크" xfId="224" builtinId="8" hidden="1"/>
    <cellStyle name="하이퍼링크" xfId="226" builtinId="8" hidden="1"/>
    <cellStyle name="하이퍼링크" xfId="228" builtinId="8" hidden="1"/>
    <cellStyle name="하이퍼링크" xfId="230" builtinId="8" hidden="1"/>
    <cellStyle name="하이퍼링크" xfId="232" builtinId="8" hidden="1"/>
    <cellStyle name="하이퍼링크" xfId="234" builtinId="8" hidden="1"/>
    <cellStyle name="하이퍼링크" xfId="236" builtinId="8" hidden="1"/>
    <cellStyle name="하이퍼링크" xfId="238" builtinId="8" hidden="1"/>
    <cellStyle name="하이퍼링크" xfId="240" builtinId="8" hidden="1"/>
    <cellStyle name="하이퍼링크" xfId="242" builtinId="8" hidden="1"/>
    <cellStyle name="하이퍼링크" xfId="244" builtinId="8" hidden="1"/>
    <cellStyle name="하이퍼링크" xfId="246" builtinId="8" hidden="1"/>
    <cellStyle name="하이퍼링크" xfId="248" builtinId="8" hidden="1"/>
    <cellStyle name="하이퍼링크" xfId="250" builtinId="8" hidden="1"/>
    <cellStyle name="하이퍼링크" xfId="252" builtinId="8" hidden="1"/>
    <cellStyle name="하이퍼링크" xfId="254" builtinId="8" hidden="1"/>
    <cellStyle name="하이퍼링크" xfId="256" builtinId="8" hidden="1"/>
    <cellStyle name="하이퍼링크" xfId="258" builtinId="8" hidden="1"/>
    <cellStyle name="하이퍼링크" xfId="260" builtinId="8" hidden="1"/>
    <cellStyle name="하이퍼링크" xfId="262" builtinId="8" hidden="1"/>
    <cellStyle name="하이퍼링크" xfId="264" builtinId="8" hidden="1"/>
    <cellStyle name="하이퍼링크" xfId="266" builtinId="8" hidden="1"/>
    <cellStyle name="하이퍼링크" xfId="268" builtinId="8" hidden="1"/>
    <cellStyle name="하이퍼링크" xfId="270" builtinId="8" hidden="1"/>
    <cellStyle name="하이퍼링크" xfId="272" builtinId="8" hidden="1"/>
    <cellStyle name="하이퍼링크" xfId="274" builtinId="8" hidden="1"/>
    <cellStyle name="하이퍼링크" xfId="276" builtinId="8" hidden="1"/>
    <cellStyle name="하이퍼링크" xfId="278" builtinId="8" hidden="1"/>
    <cellStyle name="하이퍼링크" xfId="280" builtinId="8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266699</xdr:colOff>
      <xdr:row>25</xdr:row>
      <xdr:rowOff>195035</xdr:rowOff>
    </xdr:from>
    <xdr:ext cx="546101" cy="351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1663699" y="8018235"/>
          <a:ext cx="546101" cy="351065"/>
        </a:xfrm>
        <a:prstGeom prst="rect">
          <a:avLst/>
        </a:prstGeom>
      </xdr:spPr>
    </xdr:pic>
    <xdr:clientData/>
  </xdr:oneCellAnchor>
  <xdr:oneCellAnchor>
    <xdr:from>
      <xdr:col>16</xdr:col>
      <xdr:colOff>76199</xdr:colOff>
      <xdr:row>25</xdr:row>
      <xdr:rowOff>207735</xdr:rowOff>
    </xdr:from>
    <xdr:ext cx="546101" cy="35106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092699" y="3839935"/>
          <a:ext cx="546101" cy="351065"/>
        </a:xfrm>
        <a:prstGeom prst="rect">
          <a:avLst/>
        </a:prstGeom>
      </xdr:spPr>
    </xdr:pic>
    <xdr:clientData/>
  </xdr:oneCellAnchor>
  <xdr:oneCellAnchor>
    <xdr:from>
      <xdr:col>11</xdr:col>
      <xdr:colOff>186417</xdr:colOff>
      <xdr:row>9</xdr:row>
      <xdr:rowOff>186417</xdr:rowOff>
    </xdr:from>
    <xdr:ext cx="351065" cy="546101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3162299" y="2239735"/>
          <a:ext cx="546101" cy="351065"/>
        </a:xfrm>
        <a:prstGeom prst="rect">
          <a:avLst/>
        </a:prstGeom>
      </xdr:spPr>
    </xdr:pic>
    <xdr:clientData/>
  </xdr:oneCellAnchor>
  <xdr:oneCellAnchor>
    <xdr:from>
      <xdr:col>31</xdr:col>
      <xdr:colOff>211817</xdr:colOff>
      <xdr:row>37</xdr:row>
      <xdr:rowOff>173717</xdr:rowOff>
    </xdr:from>
    <xdr:ext cx="351065" cy="546101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8775699" y="11447235"/>
          <a:ext cx="546101" cy="351065"/>
        </a:xfrm>
        <a:prstGeom prst="rect">
          <a:avLst/>
        </a:prstGeom>
      </xdr:spPr>
    </xdr:pic>
    <xdr:clientData/>
  </xdr:oneCellAnchor>
  <xdr:oneCellAnchor>
    <xdr:from>
      <xdr:col>4</xdr:col>
      <xdr:colOff>224517</xdr:colOff>
      <xdr:row>37</xdr:row>
      <xdr:rowOff>161017</xdr:rowOff>
    </xdr:from>
    <xdr:ext cx="351065" cy="546101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1244599" y="11434535"/>
          <a:ext cx="546101" cy="351065"/>
        </a:xfrm>
        <a:prstGeom prst="rect">
          <a:avLst/>
        </a:prstGeom>
      </xdr:spPr>
    </xdr:pic>
    <xdr:clientData/>
  </xdr:oneCellAnchor>
  <xdr:oneCellAnchor>
    <xdr:from>
      <xdr:col>30</xdr:col>
      <xdr:colOff>38099</xdr:colOff>
      <xdr:row>13</xdr:row>
      <xdr:rowOff>4535</xdr:rowOff>
    </xdr:from>
    <xdr:ext cx="546101" cy="351065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3670299" y="16768535"/>
          <a:ext cx="546101" cy="351065"/>
        </a:xfrm>
        <a:prstGeom prst="rect">
          <a:avLst/>
        </a:prstGeom>
      </xdr:spPr>
    </xdr:pic>
    <xdr:clientData/>
  </xdr:oneCellAnchor>
  <xdr:oneCellAnchor>
    <xdr:from>
      <xdr:col>35</xdr:col>
      <xdr:colOff>135617</xdr:colOff>
      <xdr:row>5</xdr:row>
      <xdr:rowOff>262617</xdr:rowOff>
    </xdr:from>
    <xdr:ext cx="351065" cy="546101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3699591">
          <a:off x="5067299" y="14888935"/>
          <a:ext cx="546101" cy="351065"/>
        </a:xfrm>
        <a:prstGeom prst="rect">
          <a:avLst/>
        </a:prstGeom>
      </xdr:spPr>
    </xdr:pic>
    <xdr:clientData/>
  </xdr:oneCellAnchor>
  <xdr:twoCellAnchor>
    <xdr:from>
      <xdr:col>9</xdr:col>
      <xdr:colOff>24766</xdr:colOff>
      <xdr:row>26</xdr:row>
      <xdr:rowOff>103731</xdr:rowOff>
    </xdr:from>
    <xdr:to>
      <xdr:col>14</xdr:col>
      <xdr:colOff>188665</xdr:colOff>
      <xdr:row>26</xdr:row>
      <xdr:rowOff>103731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2539366" y="8206331"/>
          <a:ext cx="1560899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177799</xdr:colOff>
      <xdr:row>55</xdr:row>
      <xdr:rowOff>106135</xdr:rowOff>
    </xdr:from>
    <xdr:ext cx="546101" cy="351065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2971799" y="18546535"/>
          <a:ext cx="546101" cy="351065"/>
        </a:xfrm>
        <a:prstGeom prst="rect">
          <a:avLst/>
        </a:prstGeom>
      </xdr:spPr>
    </xdr:pic>
    <xdr:clientData/>
  </xdr:oneCellAnchor>
  <xdr:oneCellAnchor>
    <xdr:from>
      <xdr:col>25</xdr:col>
      <xdr:colOff>177799</xdr:colOff>
      <xdr:row>55</xdr:row>
      <xdr:rowOff>106135</xdr:rowOff>
    </xdr:from>
    <xdr:ext cx="546101" cy="351065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2971799" y="18546535"/>
          <a:ext cx="546101" cy="351065"/>
        </a:xfrm>
        <a:prstGeom prst="rect">
          <a:avLst/>
        </a:prstGeom>
      </xdr:spPr>
    </xdr:pic>
    <xdr:clientData/>
  </xdr:oneCellAnchor>
  <xdr:twoCellAnchor>
    <xdr:from>
      <xdr:col>28</xdr:col>
      <xdr:colOff>0</xdr:colOff>
      <xdr:row>56</xdr:row>
      <xdr:rowOff>0</xdr:rowOff>
    </xdr:from>
    <xdr:to>
      <xdr:col>30</xdr:col>
      <xdr:colOff>266700</xdr:colOff>
      <xdr:row>56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>
          <a:off x="7823200" y="18719800"/>
          <a:ext cx="82550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177799</xdr:colOff>
      <xdr:row>55</xdr:row>
      <xdr:rowOff>106135</xdr:rowOff>
    </xdr:from>
    <xdr:ext cx="546101" cy="351065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7162799" y="18546535"/>
          <a:ext cx="546101" cy="351065"/>
        </a:xfrm>
        <a:prstGeom prst="rect">
          <a:avLst/>
        </a:prstGeom>
      </xdr:spPr>
    </xdr:pic>
    <xdr:clientData/>
  </xdr:oneCellAnchor>
  <xdr:twoCellAnchor>
    <xdr:from>
      <xdr:col>26</xdr:col>
      <xdr:colOff>0</xdr:colOff>
      <xdr:row>47</xdr:row>
      <xdr:rowOff>165100</xdr:rowOff>
    </xdr:from>
    <xdr:to>
      <xdr:col>26</xdr:col>
      <xdr:colOff>0</xdr:colOff>
      <xdr:row>49</xdr:row>
      <xdr:rowOff>127000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/>
      </xdr:nvCxnSpPr>
      <xdr:spPr>
        <a:xfrm flipV="1">
          <a:off x="7264400" y="16370300"/>
          <a:ext cx="0" cy="52070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165100</xdr:colOff>
      <xdr:row>47</xdr:row>
      <xdr:rowOff>139700</xdr:rowOff>
    </xdr:from>
    <xdr:to>
      <xdr:col>30</xdr:col>
      <xdr:colOff>165100</xdr:colOff>
      <xdr:row>49</xdr:row>
      <xdr:rowOff>101600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/>
      </xdr:nvCxnSpPr>
      <xdr:spPr>
        <a:xfrm flipV="1">
          <a:off x="8547100" y="16344900"/>
          <a:ext cx="0" cy="52070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165100</xdr:colOff>
      <xdr:row>47</xdr:row>
      <xdr:rowOff>139700</xdr:rowOff>
    </xdr:from>
    <xdr:to>
      <xdr:col>11</xdr:col>
      <xdr:colOff>165100</xdr:colOff>
      <xdr:row>49</xdr:row>
      <xdr:rowOff>101600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 flipV="1">
          <a:off x="3238500" y="16344900"/>
          <a:ext cx="0" cy="52070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161017</xdr:colOff>
      <xdr:row>47</xdr:row>
      <xdr:rowOff>59417</xdr:rowOff>
    </xdr:from>
    <xdr:ext cx="351065" cy="546101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8123446">
          <a:off x="2578099" y="16362135"/>
          <a:ext cx="546101" cy="351065"/>
        </a:xfrm>
        <a:prstGeom prst="rect">
          <a:avLst/>
        </a:prstGeom>
      </xdr:spPr>
    </xdr:pic>
    <xdr:clientData/>
  </xdr:oneCellAnchor>
  <xdr:oneCellAnchor>
    <xdr:from>
      <xdr:col>27</xdr:col>
      <xdr:colOff>161017</xdr:colOff>
      <xdr:row>47</xdr:row>
      <xdr:rowOff>97516</xdr:rowOff>
    </xdr:from>
    <xdr:ext cx="351065" cy="546101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8123446">
          <a:off x="7607299" y="16400234"/>
          <a:ext cx="546101" cy="35106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5FD58-A275-4B4F-8B24-59AF7B4D08D7}">
  <dimension ref="A1:P32"/>
  <sheetViews>
    <sheetView zoomScale="70" zoomScaleNormal="70" workbookViewId="0">
      <selection activeCell="B36" sqref="B36"/>
    </sheetView>
  </sheetViews>
  <sheetFormatPr defaultColWidth="11.5546875" defaultRowHeight="17.25" x14ac:dyDescent="0.3"/>
  <cols>
    <col min="8" max="8" width="15.109375" customWidth="1"/>
  </cols>
  <sheetData>
    <row r="1" spans="1:8" x14ac:dyDescent="0.3">
      <c r="A1" s="126" t="s">
        <v>139</v>
      </c>
    </row>
    <row r="2" spans="1:8" x14ac:dyDescent="0.3">
      <c r="A2" s="126" t="s">
        <v>117</v>
      </c>
    </row>
    <row r="3" spans="1:8" x14ac:dyDescent="0.3">
      <c r="A3" s="126" t="s">
        <v>147</v>
      </c>
    </row>
    <row r="4" spans="1:8" x14ac:dyDescent="0.3">
      <c r="A4" s="125" t="s">
        <v>138</v>
      </c>
    </row>
    <row r="16" spans="1:8" x14ac:dyDescent="0.3">
      <c r="B16" s="148" t="s">
        <v>143</v>
      </c>
      <c r="C16" s="149"/>
      <c r="D16" s="149"/>
      <c r="E16" s="149"/>
      <c r="F16" s="149"/>
      <c r="G16" s="149"/>
      <c r="H16" s="150"/>
    </row>
    <row r="17" spans="2:16" x14ac:dyDescent="0.3">
      <c r="B17" s="22" t="s">
        <v>48</v>
      </c>
      <c r="C17" s="18" t="s">
        <v>33</v>
      </c>
      <c r="D17" s="18" t="s">
        <v>34</v>
      </c>
      <c r="E17" s="18" t="s">
        <v>35</v>
      </c>
      <c r="F17" s="18" t="s">
        <v>123</v>
      </c>
      <c r="G17" s="18" t="s">
        <v>124</v>
      </c>
      <c r="H17" s="19" t="s">
        <v>47</v>
      </c>
    </row>
    <row r="18" spans="2:16" x14ac:dyDescent="0.3">
      <c r="B18" s="145" t="s">
        <v>127</v>
      </c>
      <c r="C18" s="36">
        <v>50000</v>
      </c>
      <c r="D18" s="37">
        <v>100000</v>
      </c>
      <c r="E18" s="37">
        <v>130000</v>
      </c>
      <c r="F18" s="37">
        <v>60000</v>
      </c>
      <c r="G18" s="37">
        <v>80000</v>
      </c>
      <c r="H18" s="131">
        <f>SUM(C18:G18)</f>
        <v>420000</v>
      </c>
    </row>
    <row r="19" spans="2:16" x14ac:dyDescent="0.3">
      <c r="B19" s="1"/>
      <c r="C19" s="1"/>
      <c r="D19" s="1"/>
      <c r="E19" s="1"/>
      <c r="F19" s="1"/>
      <c r="G19" s="1"/>
    </row>
    <row r="20" spans="2:16" x14ac:dyDescent="0.3">
      <c r="B20" s="1"/>
      <c r="C20" s="1"/>
      <c r="D20" s="1"/>
      <c r="E20" s="1"/>
      <c r="F20" s="1"/>
      <c r="G20" s="1"/>
    </row>
    <row r="21" spans="2:16" x14ac:dyDescent="0.3">
      <c r="B21" s="148" t="s">
        <v>144</v>
      </c>
      <c r="C21" s="149"/>
      <c r="D21" s="149"/>
      <c r="E21" s="149"/>
      <c r="F21" s="149"/>
      <c r="G21" s="149"/>
      <c r="H21" s="150"/>
    </row>
    <row r="22" spans="2:16" s="1" customFormat="1" x14ac:dyDescent="0.3">
      <c r="B22" s="22" t="s">
        <v>48</v>
      </c>
      <c r="C22" s="24" t="s">
        <v>33</v>
      </c>
      <c r="D22" s="25" t="s">
        <v>34</v>
      </c>
      <c r="E22" s="25" t="s">
        <v>35</v>
      </c>
      <c r="F22" s="18" t="s">
        <v>123</v>
      </c>
      <c r="G22" s="18" t="s">
        <v>124</v>
      </c>
      <c r="H22" s="26" t="s">
        <v>49</v>
      </c>
    </row>
    <row r="23" spans="2:16" x14ac:dyDescent="0.3">
      <c r="B23" s="145" t="s">
        <v>127</v>
      </c>
      <c r="C23" s="132">
        <v>721.11025509279784</v>
      </c>
      <c r="D23" s="136">
        <v>1442.2205101855957</v>
      </c>
      <c r="E23" s="136">
        <v>2163.3307652783938</v>
      </c>
      <c r="F23" s="136">
        <v>1442.2205101855957</v>
      </c>
      <c r="G23" s="136">
        <v>721.11025509279784</v>
      </c>
      <c r="H23" s="131">
        <v>447</v>
      </c>
    </row>
    <row r="26" spans="2:16" x14ac:dyDescent="0.3">
      <c r="B26" s="148" t="s">
        <v>145</v>
      </c>
      <c r="C26" s="149"/>
      <c r="D26" s="149"/>
      <c r="E26" s="149"/>
      <c r="F26" s="149"/>
      <c r="G26" s="149"/>
      <c r="H26" s="150"/>
    </row>
    <row r="27" spans="2:16" x14ac:dyDescent="0.3">
      <c r="B27" s="22" t="s">
        <v>48</v>
      </c>
      <c r="C27" s="18" t="s">
        <v>33</v>
      </c>
      <c r="D27" s="18" t="s">
        <v>34</v>
      </c>
      <c r="E27" s="18" t="s">
        <v>35</v>
      </c>
      <c r="F27" s="18" t="s">
        <v>123</v>
      </c>
      <c r="G27" s="18" t="s">
        <v>124</v>
      </c>
      <c r="H27" s="19" t="s">
        <v>47</v>
      </c>
    </row>
    <row r="28" spans="2:16" x14ac:dyDescent="0.3">
      <c r="B28" s="145" t="s">
        <v>127</v>
      </c>
      <c r="C28" s="132">
        <f>C18/52</f>
        <v>961.53846153846155</v>
      </c>
      <c r="D28" s="136">
        <f t="shared" ref="D28:G28" si="0">D18/52</f>
        <v>1923.0769230769231</v>
      </c>
      <c r="E28" s="136">
        <f t="shared" si="0"/>
        <v>2500</v>
      </c>
      <c r="F28" s="136">
        <f t="shared" si="0"/>
        <v>1153.8461538461538</v>
      </c>
      <c r="G28" s="136">
        <f t="shared" si="0"/>
        <v>1538.4615384615386</v>
      </c>
      <c r="H28" s="133">
        <f>SUM(C28:G28)</f>
        <v>8076.923076923078</v>
      </c>
      <c r="P28">
        <f>SQRT(P27)</f>
        <v>0</v>
      </c>
    </row>
    <row r="29" spans="2:16" x14ac:dyDescent="0.3">
      <c r="B29" s="1"/>
      <c r="C29" s="1"/>
      <c r="D29" s="1"/>
      <c r="E29" s="1"/>
      <c r="F29" s="1"/>
      <c r="G29" s="1"/>
    </row>
    <row r="30" spans="2:16" x14ac:dyDescent="0.3">
      <c r="B30" s="148" t="s">
        <v>146</v>
      </c>
      <c r="C30" s="149"/>
      <c r="D30" s="149"/>
      <c r="E30" s="149"/>
      <c r="F30" s="149"/>
      <c r="G30" s="149"/>
      <c r="H30" s="150"/>
    </row>
    <row r="31" spans="2:16" x14ac:dyDescent="0.3">
      <c r="B31" s="22" t="s">
        <v>48</v>
      </c>
      <c r="C31" s="17" t="s">
        <v>33</v>
      </c>
      <c r="D31" s="18" t="s">
        <v>34</v>
      </c>
      <c r="E31" s="18" t="s">
        <v>35</v>
      </c>
      <c r="F31" s="18" t="s">
        <v>123</v>
      </c>
      <c r="G31" s="18" t="s">
        <v>124</v>
      </c>
      <c r="H31" s="19" t="s">
        <v>50</v>
      </c>
    </row>
    <row r="32" spans="2:16" x14ac:dyDescent="0.3">
      <c r="B32" s="145" t="s">
        <v>127</v>
      </c>
      <c r="C32" s="134">
        <v>0.15</v>
      </c>
      <c r="D32" s="135">
        <v>0.2</v>
      </c>
      <c r="E32" s="135">
        <v>0.2</v>
      </c>
      <c r="F32" s="135">
        <v>0.12</v>
      </c>
      <c r="G32" s="135">
        <v>0.18</v>
      </c>
      <c r="H32" s="137">
        <f>AVERAGE(C32:G32)</f>
        <v>0.17</v>
      </c>
    </row>
  </sheetData>
  <mergeCells count="4">
    <mergeCell ref="B30:H30"/>
    <mergeCell ref="B21:H21"/>
    <mergeCell ref="B16:H16"/>
    <mergeCell ref="B26:H26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2B325-C187-F449-84B1-93CB61887693}">
  <dimension ref="A1:G31"/>
  <sheetViews>
    <sheetView zoomScale="70" zoomScaleNormal="70" workbookViewId="0">
      <selection activeCell="A3" sqref="A3"/>
    </sheetView>
  </sheetViews>
  <sheetFormatPr defaultColWidth="11.5546875" defaultRowHeight="17.25" x14ac:dyDescent="0.3"/>
  <sheetData>
    <row r="1" spans="1:7" x14ac:dyDescent="0.3">
      <c r="A1" s="126" t="s">
        <v>139</v>
      </c>
    </row>
    <row r="2" spans="1:7" x14ac:dyDescent="0.3">
      <c r="A2" s="126" t="s">
        <v>117</v>
      </c>
    </row>
    <row r="3" spans="1:7" x14ac:dyDescent="0.3">
      <c r="A3" s="126" t="s">
        <v>147</v>
      </c>
    </row>
    <row r="4" spans="1:7" x14ac:dyDescent="0.3">
      <c r="A4" s="125" t="s">
        <v>141</v>
      </c>
    </row>
    <row r="10" spans="1:7" x14ac:dyDescent="0.3">
      <c r="B10" s="154" t="s">
        <v>46</v>
      </c>
      <c r="C10" s="151" t="s">
        <v>142</v>
      </c>
      <c r="D10" s="152"/>
      <c r="E10" s="152"/>
      <c r="F10" s="152"/>
      <c r="G10" s="153"/>
    </row>
    <row r="11" spans="1:7" x14ac:dyDescent="0.3">
      <c r="B11" s="155"/>
      <c r="C11" s="9" t="s">
        <v>33</v>
      </c>
      <c r="D11" s="10" t="s">
        <v>34</v>
      </c>
      <c r="E11" s="10" t="s">
        <v>35</v>
      </c>
      <c r="F11" s="10" t="s">
        <v>123</v>
      </c>
      <c r="G11" s="11" t="s">
        <v>124</v>
      </c>
    </row>
    <row r="12" spans="1:7" x14ac:dyDescent="0.3">
      <c r="B12" s="3" t="s">
        <v>0</v>
      </c>
      <c r="C12" s="12">
        <v>1</v>
      </c>
      <c r="D12" s="13">
        <v>2</v>
      </c>
      <c r="E12" s="13">
        <v>4</v>
      </c>
      <c r="F12" s="13">
        <v>4</v>
      </c>
      <c r="G12" s="14">
        <v>1</v>
      </c>
    </row>
    <row r="13" spans="1:7" x14ac:dyDescent="0.3">
      <c r="B13" s="3" t="s">
        <v>1</v>
      </c>
      <c r="C13" s="15">
        <v>4</v>
      </c>
      <c r="D13" s="5"/>
      <c r="E13" s="5">
        <v>2</v>
      </c>
      <c r="F13" s="5">
        <v>2</v>
      </c>
      <c r="G13" s="6"/>
    </row>
    <row r="14" spans="1:7" x14ac:dyDescent="0.3">
      <c r="B14" s="3" t="s">
        <v>2</v>
      </c>
      <c r="C14" s="15"/>
      <c r="D14" s="5"/>
      <c r="E14" s="5"/>
      <c r="F14" s="5">
        <v>4</v>
      </c>
      <c r="G14" s="6">
        <v>1</v>
      </c>
    </row>
    <row r="15" spans="1:7" x14ac:dyDescent="0.3">
      <c r="B15" s="3" t="s">
        <v>3</v>
      </c>
      <c r="C15" s="15"/>
      <c r="D15" s="5">
        <v>1</v>
      </c>
      <c r="E15" s="5">
        <v>2</v>
      </c>
      <c r="F15" s="5">
        <v>2</v>
      </c>
      <c r="G15" s="6"/>
    </row>
    <row r="16" spans="1:7" x14ac:dyDescent="0.3">
      <c r="B16" s="3" t="s">
        <v>4</v>
      </c>
      <c r="C16" s="15"/>
      <c r="D16" s="5">
        <v>1</v>
      </c>
      <c r="E16" s="5">
        <v>2</v>
      </c>
      <c r="F16" s="5"/>
      <c r="G16" s="6"/>
    </row>
    <row r="17" spans="2:7" x14ac:dyDescent="0.3">
      <c r="B17" s="3" t="s">
        <v>5</v>
      </c>
      <c r="C17" s="15">
        <v>1</v>
      </c>
      <c r="D17" s="5"/>
      <c r="E17" s="5"/>
      <c r="F17" s="5"/>
      <c r="G17" s="6">
        <v>2</v>
      </c>
    </row>
    <row r="18" spans="2:7" x14ac:dyDescent="0.3">
      <c r="B18" s="3" t="s">
        <v>6</v>
      </c>
      <c r="C18" s="15"/>
      <c r="D18" s="5">
        <v>4</v>
      </c>
      <c r="E18" s="5"/>
      <c r="F18" s="5"/>
      <c r="G18" s="6">
        <v>4</v>
      </c>
    </row>
    <row r="19" spans="2:7" x14ac:dyDescent="0.3">
      <c r="B19" s="3" t="s">
        <v>7</v>
      </c>
      <c r="C19" s="15"/>
      <c r="D19" s="5"/>
      <c r="E19" s="5"/>
      <c r="F19" s="5">
        <v>4</v>
      </c>
      <c r="G19" s="6"/>
    </row>
    <row r="20" spans="2:7" x14ac:dyDescent="0.3">
      <c r="B20" s="3" t="s">
        <v>8</v>
      </c>
      <c r="C20" s="15"/>
      <c r="D20" s="5">
        <v>2</v>
      </c>
      <c r="E20" s="5">
        <v>2</v>
      </c>
      <c r="F20" s="5"/>
      <c r="G20" s="6"/>
    </row>
    <row r="21" spans="2:7" x14ac:dyDescent="0.3">
      <c r="B21" s="3" t="s">
        <v>9</v>
      </c>
      <c r="C21" s="15">
        <v>1</v>
      </c>
      <c r="D21" s="5"/>
      <c r="E21" s="5">
        <v>1</v>
      </c>
      <c r="F21" s="5">
        <v>1</v>
      </c>
      <c r="G21" s="6"/>
    </row>
    <row r="22" spans="2:7" x14ac:dyDescent="0.3">
      <c r="B22" s="3" t="s">
        <v>10</v>
      </c>
      <c r="C22" s="15">
        <v>2</v>
      </c>
      <c r="D22" s="5"/>
      <c r="E22" s="5"/>
      <c r="F22" s="5"/>
      <c r="G22" s="6">
        <v>4</v>
      </c>
    </row>
    <row r="23" spans="2:7" x14ac:dyDescent="0.3">
      <c r="B23" s="3" t="s">
        <v>11</v>
      </c>
      <c r="C23" s="15">
        <v>4</v>
      </c>
      <c r="D23" s="5"/>
      <c r="E23" s="5"/>
      <c r="F23" s="5"/>
      <c r="G23" s="6">
        <v>4</v>
      </c>
    </row>
    <row r="24" spans="2:7" x14ac:dyDescent="0.3">
      <c r="B24" s="3" t="s">
        <v>12</v>
      </c>
      <c r="C24" s="15">
        <v>2</v>
      </c>
      <c r="D24" s="5"/>
      <c r="E24" s="5"/>
      <c r="F24" s="5"/>
      <c r="G24" s="6">
        <v>2</v>
      </c>
    </row>
    <row r="25" spans="2:7" x14ac:dyDescent="0.3">
      <c r="B25" s="3" t="s">
        <v>13</v>
      </c>
      <c r="C25" s="15"/>
      <c r="D25" s="5">
        <v>4</v>
      </c>
      <c r="E25" s="5">
        <v>2</v>
      </c>
      <c r="F25" s="5">
        <v>2</v>
      </c>
      <c r="G25" s="6">
        <v>2</v>
      </c>
    </row>
    <row r="26" spans="2:7" x14ac:dyDescent="0.3">
      <c r="B26" s="3" t="s">
        <v>14</v>
      </c>
      <c r="C26" s="15"/>
      <c r="D26" s="5"/>
      <c r="E26" s="5"/>
      <c r="F26" s="5">
        <v>2</v>
      </c>
      <c r="G26" s="6"/>
    </row>
    <row r="27" spans="2:7" x14ac:dyDescent="0.3">
      <c r="B27" s="3" t="s">
        <v>15</v>
      </c>
      <c r="C27" s="15"/>
      <c r="D27" s="5">
        <v>1</v>
      </c>
      <c r="E27" s="5">
        <v>4</v>
      </c>
      <c r="F27" s="5"/>
      <c r="G27" s="6"/>
    </row>
    <row r="28" spans="2:7" x14ac:dyDescent="0.3">
      <c r="B28" s="3" t="s">
        <v>16</v>
      </c>
      <c r="C28" s="15">
        <v>2</v>
      </c>
      <c r="D28" s="5"/>
      <c r="E28" s="5"/>
      <c r="F28" s="5"/>
      <c r="G28" s="6">
        <v>2</v>
      </c>
    </row>
    <row r="29" spans="2:7" x14ac:dyDescent="0.3">
      <c r="B29" s="3" t="s">
        <v>17</v>
      </c>
      <c r="C29" s="15">
        <v>4</v>
      </c>
      <c r="D29" s="5">
        <v>1</v>
      </c>
      <c r="E29" s="5"/>
      <c r="F29" s="5"/>
      <c r="G29" s="6">
        <v>4</v>
      </c>
    </row>
    <row r="30" spans="2:7" x14ac:dyDescent="0.3">
      <c r="B30" s="3" t="s">
        <v>18</v>
      </c>
      <c r="C30" s="15"/>
      <c r="D30" s="5">
        <v>2</v>
      </c>
      <c r="E30" s="5">
        <v>4</v>
      </c>
      <c r="F30" s="5">
        <v>4</v>
      </c>
      <c r="G30" s="6">
        <v>1</v>
      </c>
    </row>
    <row r="31" spans="2:7" x14ac:dyDescent="0.3">
      <c r="B31" s="4" t="s">
        <v>19</v>
      </c>
      <c r="C31" s="16"/>
      <c r="D31" s="7">
        <v>2</v>
      </c>
      <c r="E31" s="7">
        <v>3</v>
      </c>
      <c r="F31" s="7">
        <v>3</v>
      </c>
      <c r="G31" s="8"/>
    </row>
  </sheetData>
  <mergeCells count="2">
    <mergeCell ref="C10:G10"/>
    <mergeCell ref="B10:B11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2846D-C20E-EC4D-A97E-D26BB6944E49}">
  <dimension ref="A1:J55"/>
  <sheetViews>
    <sheetView tabSelected="1" zoomScale="55" zoomScaleNormal="55" workbookViewId="0">
      <selection activeCell="K29" sqref="K29"/>
    </sheetView>
  </sheetViews>
  <sheetFormatPr defaultColWidth="11.5546875" defaultRowHeight="17.25" x14ac:dyDescent="0.3"/>
  <cols>
    <col min="14" max="14" width="14.109375" customWidth="1"/>
  </cols>
  <sheetData>
    <row r="1" spans="1:9" x14ac:dyDescent="0.3">
      <c r="A1" s="126" t="s">
        <v>139</v>
      </c>
    </row>
    <row r="2" spans="1:9" x14ac:dyDescent="0.3">
      <c r="A2" s="126" t="s">
        <v>117</v>
      </c>
    </row>
    <row r="3" spans="1:9" x14ac:dyDescent="0.3">
      <c r="A3" s="126" t="s">
        <v>147</v>
      </c>
    </row>
    <row r="4" spans="1:9" x14ac:dyDescent="0.3">
      <c r="A4" s="125" t="s">
        <v>121</v>
      </c>
    </row>
    <row r="10" spans="1:9" x14ac:dyDescent="0.3">
      <c r="B10" s="2" t="s">
        <v>46</v>
      </c>
      <c r="C10" s="151" t="s">
        <v>45</v>
      </c>
      <c r="D10" s="152"/>
      <c r="E10" s="152"/>
      <c r="F10" s="152"/>
      <c r="G10" s="152"/>
      <c r="H10" s="152"/>
      <c r="I10" s="153"/>
    </row>
    <row r="11" spans="1:9" x14ac:dyDescent="0.3">
      <c r="B11" s="3"/>
      <c r="C11" s="9" t="s">
        <v>38</v>
      </c>
      <c r="D11" s="10" t="s">
        <v>39</v>
      </c>
      <c r="E11" s="10" t="s">
        <v>40</v>
      </c>
      <c r="F11" s="10" t="s">
        <v>41</v>
      </c>
      <c r="G11" s="10" t="s">
        <v>42</v>
      </c>
      <c r="H11" s="10" t="s">
        <v>43</v>
      </c>
      <c r="I11" s="11" t="s">
        <v>44</v>
      </c>
    </row>
    <row r="12" spans="1:9" x14ac:dyDescent="0.3">
      <c r="B12" s="3" t="s">
        <v>0</v>
      </c>
      <c r="C12" s="5" t="s">
        <v>21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28</v>
      </c>
      <c r="I12" s="6" t="s">
        <v>29</v>
      </c>
    </row>
    <row r="13" spans="1:9" x14ac:dyDescent="0.3">
      <c r="B13" s="3" t="s">
        <v>1</v>
      </c>
      <c r="C13" s="5" t="s">
        <v>20</v>
      </c>
      <c r="D13" s="5" t="s">
        <v>22</v>
      </c>
      <c r="E13" s="5" t="s">
        <v>23</v>
      </c>
      <c r="F13" s="5" t="s">
        <v>27</v>
      </c>
      <c r="G13" s="5" t="s">
        <v>29</v>
      </c>
      <c r="H13" s="5"/>
      <c r="I13" s="6"/>
    </row>
    <row r="14" spans="1:9" x14ac:dyDescent="0.3">
      <c r="B14" s="3" t="s">
        <v>2</v>
      </c>
      <c r="C14" s="5" t="s">
        <v>21</v>
      </c>
      <c r="D14" s="5" t="s">
        <v>23</v>
      </c>
      <c r="E14" s="5" t="s">
        <v>22</v>
      </c>
      <c r="F14" s="5" t="s">
        <v>28</v>
      </c>
      <c r="G14" s="5" t="s">
        <v>29</v>
      </c>
      <c r="H14" s="5"/>
      <c r="I14" s="6"/>
    </row>
    <row r="15" spans="1:9" x14ac:dyDescent="0.3">
      <c r="B15" s="3" t="s">
        <v>3</v>
      </c>
      <c r="C15" s="5" t="s">
        <v>20</v>
      </c>
      <c r="D15" s="5" t="s">
        <v>21</v>
      </c>
      <c r="E15" s="5" t="s">
        <v>23</v>
      </c>
      <c r="F15" s="5" t="s">
        <v>26</v>
      </c>
      <c r="G15" s="5" t="s">
        <v>27</v>
      </c>
      <c r="H15" s="5"/>
      <c r="I15" s="6"/>
    </row>
    <row r="16" spans="1:9" x14ac:dyDescent="0.3">
      <c r="B16" s="3" t="s">
        <v>4</v>
      </c>
      <c r="C16" s="5" t="s">
        <v>21</v>
      </c>
      <c r="D16" s="5" t="s">
        <v>22</v>
      </c>
      <c r="E16" s="5" t="s">
        <v>23</v>
      </c>
      <c r="F16" s="5" t="s">
        <v>28</v>
      </c>
      <c r="G16" s="5"/>
      <c r="H16" s="5"/>
      <c r="I16" s="6"/>
    </row>
    <row r="17" spans="2:10" x14ac:dyDescent="0.3">
      <c r="B17" s="3" t="s">
        <v>5</v>
      </c>
      <c r="C17" s="5" t="s">
        <v>20</v>
      </c>
      <c r="D17" s="5" t="s">
        <v>21</v>
      </c>
      <c r="E17" s="5" t="s">
        <v>22</v>
      </c>
      <c r="F17" s="5" t="s">
        <v>23</v>
      </c>
      <c r="G17" s="5" t="s">
        <v>27</v>
      </c>
      <c r="H17" s="5" t="s">
        <v>28</v>
      </c>
      <c r="I17" s="6" t="s">
        <v>29</v>
      </c>
    </row>
    <row r="18" spans="2:10" x14ac:dyDescent="0.3">
      <c r="B18" s="3" t="s">
        <v>6</v>
      </c>
      <c r="C18" s="5" t="s">
        <v>24</v>
      </c>
      <c r="D18" s="5" t="s">
        <v>25</v>
      </c>
      <c r="E18" s="5" t="s">
        <v>22</v>
      </c>
      <c r="F18" s="5" t="s">
        <v>23</v>
      </c>
      <c r="G18" s="5" t="s">
        <v>28</v>
      </c>
      <c r="H18" s="5" t="s">
        <v>29</v>
      </c>
      <c r="I18" s="6"/>
    </row>
    <row r="19" spans="2:10" x14ac:dyDescent="0.3">
      <c r="B19" s="3" t="s">
        <v>7</v>
      </c>
      <c r="C19" s="5" t="s">
        <v>24</v>
      </c>
      <c r="D19" s="5" t="s">
        <v>27</v>
      </c>
      <c r="E19" s="5" t="s">
        <v>29</v>
      </c>
      <c r="F19" s="5" t="s">
        <v>28</v>
      </c>
      <c r="G19" s="5"/>
      <c r="H19" s="5"/>
      <c r="I19" s="6"/>
    </row>
    <row r="20" spans="2:10" x14ac:dyDescent="0.3">
      <c r="B20" s="3" t="s">
        <v>8</v>
      </c>
      <c r="C20" s="5" t="s">
        <v>25</v>
      </c>
      <c r="D20" s="5" t="s">
        <v>26</v>
      </c>
      <c r="E20" s="5" t="s">
        <v>24</v>
      </c>
      <c r="F20" s="5" t="s">
        <v>26</v>
      </c>
      <c r="G20" s="5" t="s">
        <v>28</v>
      </c>
      <c r="H20" s="5" t="s">
        <v>29</v>
      </c>
      <c r="I20" s="6"/>
    </row>
    <row r="21" spans="2:10" x14ac:dyDescent="0.3">
      <c r="B21" s="3" t="s">
        <v>9</v>
      </c>
      <c r="C21" s="5" t="s">
        <v>24</v>
      </c>
      <c r="D21" s="5" t="s">
        <v>25</v>
      </c>
      <c r="E21" s="5" t="s">
        <v>28</v>
      </c>
      <c r="F21" s="5" t="s">
        <v>29</v>
      </c>
      <c r="G21" s="5"/>
      <c r="H21" s="5"/>
      <c r="I21" s="6"/>
    </row>
    <row r="22" spans="2:10" x14ac:dyDescent="0.3">
      <c r="B22" s="3" t="s">
        <v>10</v>
      </c>
      <c r="C22" s="5" t="s">
        <v>24</v>
      </c>
      <c r="D22" s="5" t="s">
        <v>26</v>
      </c>
      <c r="E22" s="5" t="s">
        <v>24</v>
      </c>
      <c r="F22" s="5" t="s">
        <v>26</v>
      </c>
      <c r="G22" s="5" t="s">
        <v>28</v>
      </c>
      <c r="H22" s="5"/>
      <c r="I22" s="6"/>
    </row>
    <row r="23" spans="2:10" x14ac:dyDescent="0.3">
      <c r="B23" s="3" t="s">
        <v>11</v>
      </c>
      <c r="C23" s="5" t="s">
        <v>24</v>
      </c>
      <c r="D23" s="5" t="s">
        <v>26</v>
      </c>
      <c r="E23" s="5" t="s">
        <v>25</v>
      </c>
      <c r="F23" s="5" t="s">
        <v>28</v>
      </c>
      <c r="G23" s="5" t="s">
        <v>29</v>
      </c>
      <c r="H23" s="5"/>
      <c r="I23" s="6"/>
    </row>
    <row r="24" spans="2:10" x14ac:dyDescent="0.3">
      <c r="B24" s="3" t="s">
        <v>12</v>
      </c>
      <c r="C24" s="5" t="s">
        <v>24</v>
      </c>
      <c r="D24" s="5" t="s">
        <v>25</v>
      </c>
      <c r="E24" s="5" t="s">
        <v>26</v>
      </c>
      <c r="F24" s="5" t="s">
        <v>25</v>
      </c>
      <c r="G24" s="5" t="s">
        <v>26</v>
      </c>
      <c r="H24" s="5" t="s">
        <v>27</v>
      </c>
      <c r="I24" s="6" t="s">
        <v>28</v>
      </c>
    </row>
    <row r="25" spans="2:10" x14ac:dyDescent="0.3">
      <c r="B25" s="3" t="s">
        <v>13</v>
      </c>
      <c r="C25" s="5" t="s">
        <v>24</v>
      </c>
      <c r="D25" s="5" t="s">
        <v>25</v>
      </c>
      <c r="E25" s="5" t="s">
        <v>26</v>
      </c>
      <c r="F25" s="5" t="s">
        <v>27</v>
      </c>
      <c r="G25" s="5"/>
      <c r="H25" s="5"/>
      <c r="I25" s="6"/>
    </row>
    <row r="26" spans="2:10" x14ac:dyDescent="0.3">
      <c r="B26" s="3" t="s">
        <v>14</v>
      </c>
      <c r="C26" s="5" t="s">
        <v>24</v>
      </c>
      <c r="D26" s="5" t="s">
        <v>26</v>
      </c>
      <c r="E26" s="5" t="s">
        <v>25</v>
      </c>
      <c r="F26" s="5" t="s">
        <v>27</v>
      </c>
      <c r="G26" s="5" t="s">
        <v>29</v>
      </c>
      <c r="H26" s="5"/>
      <c r="I26" s="6"/>
    </row>
    <row r="27" spans="2:10" x14ac:dyDescent="0.3">
      <c r="B27" s="3" t="s">
        <v>15</v>
      </c>
      <c r="C27" s="5" t="s">
        <v>25</v>
      </c>
      <c r="D27" s="5" t="s">
        <v>27</v>
      </c>
      <c r="E27" s="5" t="s">
        <v>28</v>
      </c>
      <c r="F27" s="5" t="s">
        <v>29</v>
      </c>
      <c r="G27" s="5"/>
      <c r="H27" s="5"/>
      <c r="I27" s="6"/>
    </row>
    <row r="28" spans="2:10" x14ac:dyDescent="0.3">
      <c r="B28" s="3" t="s">
        <v>16</v>
      </c>
      <c r="C28" s="5" t="s">
        <v>30</v>
      </c>
      <c r="D28" s="5" t="s">
        <v>31</v>
      </c>
      <c r="E28" s="5" t="s">
        <v>32</v>
      </c>
      <c r="F28" s="5"/>
      <c r="G28" s="5"/>
      <c r="H28" s="5"/>
      <c r="I28" s="6"/>
    </row>
    <row r="29" spans="2:10" x14ac:dyDescent="0.3">
      <c r="B29" s="3" t="s">
        <v>17</v>
      </c>
      <c r="C29" s="5" t="s">
        <v>30</v>
      </c>
      <c r="D29" s="5" t="s">
        <v>31</v>
      </c>
      <c r="E29" s="5" t="s">
        <v>30</v>
      </c>
      <c r="F29" s="5" t="s">
        <v>32</v>
      </c>
      <c r="G29" s="5"/>
      <c r="H29" s="5"/>
      <c r="I29" s="6"/>
    </row>
    <row r="30" spans="2:10" x14ac:dyDescent="0.3">
      <c r="B30" s="3" t="s">
        <v>18</v>
      </c>
      <c r="C30" s="5" t="s">
        <v>31</v>
      </c>
      <c r="D30" s="5" t="s">
        <v>32</v>
      </c>
      <c r="E30" s="5" t="s">
        <v>31</v>
      </c>
      <c r="F30" s="5" t="s">
        <v>32</v>
      </c>
      <c r="G30" s="5"/>
      <c r="H30" s="5"/>
      <c r="I30" s="6"/>
    </row>
    <row r="31" spans="2:10" x14ac:dyDescent="0.3">
      <c r="B31" s="4" t="s">
        <v>19</v>
      </c>
      <c r="C31" s="7" t="s">
        <v>31</v>
      </c>
      <c r="D31" s="7" t="s">
        <v>30</v>
      </c>
      <c r="E31" s="7" t="s">
        <v>32</v>
      </c>
      <c r="F31" s="7"/>
      <c r="G31" s="7"/>
      <c r="H31" s="7"/>
      <c r="I31" s="8"/>
    </row>
    <row r="32" spans="2:10" x14ac:dyDescent="0.3">
      <c r="B32" s="1"/>
      <c r="C32" s="1"/>
      <c r="D32" s="1"/>
      <c r="E32" s="1"/>
      <c r="F32" s="1"/>
      <c r="G32" s="1"/>
      <c r="H32" s="1"/>
      <c r="I32" s="1"/>
      <c r="J32" s="1"/>
    </row>
    <row r="33" spans="2:10" x14ac:dyDescent="0.3">
      <c r="B33" s="1"/>
      <c r="C33" s="1"/>
      <c r="D33" s="1"/>
      <c r="E33" s="1"/>
      <c r="F33" s="1"/>
      <c r="G33" s="1"/>
      <c r="H33" s="1"/>
      <c r="I33" s="1"/>
      <c r="J33" s="1"/>
    </row>
    <row r="34" spans="2:10" x14ac:dyDescent="0.3">
      <c r="B34" s="2" t="s">
        <v>46</v>
      </c>
      <c r="C34" s="156" t="s">
        <v>102</v>
      </c>
      <c r="D34" s="157"/>
      <c r="E34" s="157"/>
      <c r="F34" s="158"/>
      <c r="G34" s="120" t="s">
        <v>113</v>
      </c>
      <c r="H34" s="1"/>
      <c r="I34" s="1"/>
      <c r="J34" s="1"/>
    </row>
    <row r="35" spans="2:10" x14ac:dyDescent="0.3">
      <c r="B35" s="4" t="s">
        <v>115</v>
      </c>
      <c r="C35" s="9" t="s">
        <v>98</v>
      </c>
      <c r="D35" s="10" t="s">
        <v>99</v>
      </c>
      <c r="E35" s="10" t="s">
        <v>100</v>
      </c>
      <c r="F35" s="11" t="s">
        <v>101</v>
      </c>
      <c r="G35" s="4" t="s">
        <v>114</v>
      </c>
      <c r="H35" s="1"/>
      <c r="I35" s="1"/>
      <c r="J35" s="1"/>
    </row>
    <row r="36" spans="2:10" x14ac:dyDescent="0.3">
      <c r="B36" s="3" t="s">
        <v>0</v>
      </c>
      <c r="C36" s="5">
        <v>2</v>
      </c>
      <c r="D36" s="5">
        <v>6</v>
      </c>
      <c r="E36" s="5">
        <v>6</v>
      </c>
      <c r="F36" s="6">
        <v>2</v>
      </c>
      <c r="G36" s="121">
        <v>12</v>
      </c>
      <c r="H36" s="1"/>
      <c r="I36" s="1"/>
      <c r="J36" s="1"/>
    </row>
    <row r="37" spans="2:10" x14ac:dyDescent="0.3">
      <c r="B37" s="3" t="s">
        <v>1</v>
      </c>
      <c r="C37" s="5">
        <v>8</v>
      </c>
      <c r="D37" s="5">
        <v>8</v>
      </c>
      <c r="E37" s="5">
        <v>4</v>
      </c>
      <c r="F37" s="6">
        <v>14</v>
      </c>
      <c r="G37" s="122">
        <v>100</v>
      </c>
      <c r="H37" s="1"/>
      <c r="I37" s="1"/>
      <c r="J37" s="1"/>
    </row>
    <row r="38" spans="2:10" x14ac:dyDescent="0.3">
      <c r="B38" s="3" t="s">
        <v>2</v>
      </c>
      <c r="C38" s="5">
        <v>6</v>
      </c>
      <c r="D38" s="5">
        <v>6</v>
      </c>
      <c r="E38" s="5">
        <v>6</v>
      </c>
      <c r="F38" s="6">
        <v>6</v>
      </c>
      <c r="G38" s="123">
        <v>50</v>
      </c>
      <c r="H38" s="1"/>
      <c r="I38" s="1"/>
      <c r="J38" s="1"/>
    </row>
    <row r="39" spans="2:10" x14ac:dyDescent="0.3">
      <c r="B39" s="3" t="s">
        <v>3</v>
      </c>
      <c r="C39" s="5">
        <v>12</v>
      </c>
      <c r="D39" s="5">
        <v>6</v>
      </c>
      <c r="E39" s="5">
        <v>4</v>
      </c>
      <c r="F39" s="6">
        <v>16</v>
      </c>
      <c r="G39" s="123">
        <v>120</v>
      </c>
    </row>
    <row r="40" spans="2:10" x14ac:dyDescent="0.3">
      <c r="B40" s="3" t="s">
        <v>4</v>
      </c>
      <c r="C40" s="5">
        <v>8</v>
      </c>
      <c r="D40" s="5">
        <v>4</v>
      </c>
      <c r="E40" s="5">
        <v>6</v>
      </c>
      <c r="F40" s="6">
        <v>5</v>
      </c>
      <c r="G40" s="123">
        <v>50</v>
      </c>
    </row>
    <row r="41" spans="2:10" x14ac:dyDescent="0.3">
      <c r="B41" s="3" t="s">
        <v>5</v>
      </c>
      <c r="C41" s="5">
        <v>2</v>
      </c>
      <c r="D41" s="5">
        <v>8</v>
      </c>
      <c r="E41" s="5">
        <v>6</v>
      </c>
      <c r="F41" s="6">
        <v>3</v>
      </c>
      <c r="G41" s="123">
        <v>15</v>
      </c>
    </row>
    <row r="42" spans="2:10" x14ac:dyDescent="0.3">
      <c r="B42" s="3" t="s">
        <v>6</v>
      </c>
      <c r="C42" s="5">
        <v>2</v>
      </c>
      <c r="D42" s="5">
        <v>2</v>
      </c>
      <c r="E42" s="5">
        <v>12</v>
      </c>
      <c r="F42" s="6">
        <v>1</v>
      </c>
      <c r="G42" s="123">
        <v>25</v>
      </c>
    </row>
    <row r="43" spans="2:10" x14ac:dyDescent="0.3">
      <c r="B43" s="3" t="s">
        <v>7</v>
      </c>
      <c r="C43" s="5">
        <v>4</v>
      </c>
      <c r="D43" s="5">
        <v>4</v>
      </c>
      <c r="E43" s="5">
        <v>4</v>
      </c>
      <c r="F43" s="6">
        <v>1</v>
      </c>
      <c r="G43" s="123">
        <v>20</v>
      </c>
    </row>
    <row r="44" spans="2:10" x14ac:dyDescent="0.3">
      <c r="B44" s="3" t="s">
        <v>8</v>
      </c>
      <c r="C44" s="5">
        <v>2</v>
      </c>
      <c r="D44" s="5">
        <v>4</v>
      </c>
      <c r="E44" s="5">
        <v>12</v>
      </c>
      <c r="F44" s="6">
        <v>2</v>
      </c>
      <c r="G44" s="123">
        <v>40</v>
      </c>
    </row>
    <row r="45" spans="2:10" x14ac:dyDescent="0.3">
      <c r="B45" s="3" t="s">
        <v>9</v>
      </c>
      <c r="C45" s="5">
        <v>4</v>
      </c>
      <c r="D45" s="5">
        <v>4</v>
      </c>
      <c r="E45" s="5">
        <v>4</v>
      </c>
      <c r="F45" s="6">
        <v>1</v>
      </c>
      <c r="G45" s="123">
        <v>20</v>
      </c>
    </row>
    <row r="46" spans="2:10" x14ac:dyDescent="0.3">
      <c r="B46" s="3" t="s">
        <v>10</v>
      </c>
      <c r="C46" s="5">
        <v>4</v>
      </c>
      <c r="D46" s="5">
        <v>6</v>
      </c>
      <c r="E46" s="5">
        <v>4</v>
      </c>
      <c r="F46" s="6">
        <v>2</v>
      </c>
      <c r="G46" s="123">
        <v>30</v>
      </c>
    </row>
    <row r="47" spans="2:10" x14ac:dyDescent="0.3">
      <c r="B47" s="3" t="s">
        <v>11</v>
      </c>
      <c r="C47" s="5">
        <v>6</v>
      </c>
      <c r="D47" s="5">
        <v>6</v>
      </c>
      <c r="E47" s="5">
        <v>4</v>
      </c>
      <c r="F47" s="6">
        <v>2</v>
      </c>
      <c r="G47" s="123">
        <v>30</v>
      </c>
    </row>
    <row r="48" spans="2:10" x14ac:dyDescent="0.3">
      <c r="B48" s="3" t="s">
        <v>12</v>
      </c>
      <c r="C48" s="5">
        <v>2</v>
      </c>
      <c r="D48" s="5">
        <v>2</v>
      </c>
      <c r="E48" s="5">
        <v>12</v>
      </c>
      <c r="F48" s="6">
        <v>1</v>
      </c>
      <c r="G48" s="123">
        <v>25</v>
      </c>
    </row>
    <row r="49" spans="2:7" x14ac:dyDescent="0.3">
      <c r="B49" s="3" t="s">
        <v>13</v>
      </c>
      <c r="C49" s="5">
        <v>2</v>
      </c>
      <c r="D49" s="5">
        <v>4</v>
      </c>
      <c r="E49" s="5">
        <v>6</v>
      </c>
      <c r="F49" s="6">
        <v>1</v>
      </c>
      <c r="G49" s="123">
        <v>20</v>
      </c>
    </row>
    <row r="50" spans="2:7" x14ac:dyDescent="0.3">
      <c r="B50" s="3" t="s">
        <v>14</v>
      </c>
      <c r="C50" s="5">
        <v>4</v>
      </c>
      <c r="D50" s="5">
        <v>6</v>
      </c>
      <c r="E50" s="5">
        <v>4</v>
      </c>
      <c r="F50" s="6">
        <v>2</v>
      </c>
      <c r="G50" s="123">
        <v>25</v>
      </c>
    </row>
    <row r="51" spans="2:7" x14ac:dyDescent="0.3">
      <c r="B51" s="3" t="s">
        <v>15</v>
      </c>
      <c r="C51" s="5">
        <v>4</v>
      </c>
      <c r="D51" s="5">
        <v>4</v>
      </c>
      <c r="E51" s="5">
        <v>4</v>
      </c>
      <c r="F51" s="6">
        <v>1</v>
      </c>
      <c r="G51" s="123">
        <v>20</v>
      </c>
    </row>
    <row r="52" spans="2:7" x14ac:dyDescent="0.3">
      <c r="B52" s="3" t="s">
        <v>16</v>
      </c>
      <c r="C52" s="5">
        <v>12</v>
      </c>
      <c r="D52" s="5">
        <v>2</v>
      </c>
      <c r="E52" s="5">
        <v>2</v>
      </c>
      <c r="F52" s="6">
        <v>4</v>
      </c>
      <c r="G52" s="123">
        <v>80</v>
      </c>
    </row>
    <row r="53" spans="2:7" x14ac:dyDescent="0.3">
      <c r="B53" s="3" t="s">
        <v>17</v>
      </c>
      <c r="C53" s="5">
        <v>12</v>
      </c>
      <c r="D53" s="5">
        <v>2</v>
      </c>
      <c r="E53" s="5">
        <v>2</v>
      </c>
      <c r="F53" s="6">
        <v>4</v>
      </c>
      <c r="G53" s="123">
        <v>80</v>
      </c>
    </row>
    <row r="54" spans="2:7" x14ac:dyDescent="0.3">
      <c r="B54" s="3" t="s">
        <v>18</v>
      </c>
      <c r="C54" s="5">
        <v>12</v>
      </c>
      <c r="D54" s="5">
        <v>2</v>
      </c>
      <c r="E54" s="5">
        <v>2</v>
      </c>
      <c r="F54" s="6">
        <v>4</v>
      </c>
      <c r="G54" s="123">
        <v>80</v>
      </c>
    </row>
    <row r="55" spans="2:7" x14ac:dyDescent="0.3">
      <c r="B55" s="4" t="s">
        <v>19</v>
      </c>
      <c r="C55" s="7">
        <v>12</v>
      </c>
      <c r="D55" s="7">
        <v>2</v>
      </c>
      <c r="E55" s="7">
        <v>2</v>
      </c>
      <c r="F55" s="8">
        <v>4</v>
      </c>
      <c r="G55" s="124">
        <v>80</v>
      </c>
    </row>
  </sheetData>
  <mergeCells count="2">
    <mergeCell ref="C34:F34"/>
    <mergeCell ref="C10:I10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0770-6601-7F41-B084-36C244596D72}">
  <dimension ref="A1:I38"/>
  <sheetViews>
    <sheetView zoomScale="55" zoomScaleNormal="55" workbookViewId="0">
      <selection activeCell="F22" sqref="F22"/>
    </sheetView>
  </sheetViews>
  <sheetFormatPr defaultColWidth="11.5546875" defaultRowHeight="17.25" x14ac:dyDescent="0.3"/>
  <cols>
    <col min="3" max="3" width="12.77734375" customWidth="1"/>
    <col min="6" max="6" width="15.44140625" customWidth="1"/>
  </cols>
  <sheetData>
    <row r="1" spans="1:9" x14ac:dyDescent="0.3">
      <c r="A1" s="126" t="s">
        <v>139</v>
      </c>
    </row>
    <row r="2" spans="1:9" x14ac:dyDescent="0.3">
      <c r="A2" s="126" t="s">
        <v>117</v>
      </c>
    </row>
    <row r="3" spans="1:9" x14ac:dyDescent="0.3">
      <c r="A3" s="126" t="s">
        <v>147</v>
      </c>
    </row>
    <row r="4" spans="1:9" x14ac:dyDescent="0.3">
      <c r="A4" s="35" t="s">
        <v>122</v>
      </c>
    </row>
    <row r="10" spans="1:9" x14ac:dyDescent="0.3">
      <c r="B10" s="154" t="s">
        <v>65</v>
      </c>
      <c r="C10" s="159" t="s">
        <v>66</v>
      </c>
      <c r="D10" s="159" t="s">
        <v>67</v>
      </c>
      <c r="E10" s="163" t="s">
        <v>68</v>
      </c>
      <c r="F10" s="161" t="s">
        <v>82</v>
      </c>
      <c r="H10" s="85" t="s">
        <v>87</v>
      </c>
      <c r="I10" s="85" t="s">
        <v>88</v>
      </c>
    </row>
    <row r="11" spans="1:9" x14ac:dyDescent="0.3">
      <c r="B11" s="155"/>
      <c r="C11" s="160"/>
      <c r="D11" s="160"/>
      <c r="E11" s="164"/>
      <c r="F11" s="162"/>
      <c r="G11" s="1"/>
      <c r="H11" s="3" t="s">
        <v>89</v>
      </c>
      <c r="I11" s="86">
        <v>20</v>
      </c>
    </row>
    <row r="12" spans="1:9" x14ac:dyDescent="0.3">
      <c r="B12" s="3" t="s">
        <v>20</v>
      </c>
      <c r="C12" s="38">
        <v>150000</v>
      </c>
      <c r="D12" s="38">
        <v>10000</v>
      </c>
      <c r="E12" s="83">
        <v>10</v>
      </c>
      <c r="F12" s="83" t="s">
        <v>85</v>
      </c>
      <c r="G12" s="1"/>
      <c r="H12" s="3" t="s">
        <v>90</v>
      </c>
      <c r="I12" s="86">
        <v>40</v>
      </c>
    </row>
    <row r="13" spans="1:9" x14ac:dyDescent="0.3">
      <c r="B13" s="3" t="s">
        <v>21</v>
      </c>
      <c r="C13" s="38">
        <v>200000</v>
      </c>
      <c r="D13" s="38">
        <v>10000</v>
      </c>
      <c r="E13" s="83">
        <v>10</v>
      </c>
      <c r="F13" s="83" t="s">
        <v>85</v>
      </c>
      <c r="G13" s="1"/>
      <c r="H13" s="4" t="s">
        <v>91</v>
      </c>
      <c r="I13" s="87">
        <v>60</v>
      </c>
    </row>
    <row r="14" spans="1:9" x14ac:dyDescent="0.3">
      <c r="B14" s="3" t="s">
        <v>22</v>
      </c>
      <c r="C14" s="38">
        <v>250000</v>
      </c>
      <c r="D14" s="38">
        <v>10000</v>
      </c>
      <c r="E14" s="83">
        <v>10</v>
      </c>
      <c r="F14" s="83" t="s">
        <v>85</v>
      </c>
      <c r="G14" s="1"/>
    </row>
    <row r="15" spans="1:9" x14ac:dyDescent="0.3">
      <c r="B15" s="3" t="s">
        <v>23</v>
      </c>
      <c r="C15" s="38">
        <v>300000</v>
      </c>
      <c r="D15" s="38">
        <v>10000</v>
      </c>
      <c r="E15" s="83">
        <v>10</v>
      </c>
      <c r="F15" s="83" t="s">
        <v>85</v>
      </c>
      <c r="G15" s="1"/>
    </row>
    <row r="16" spans="1:9" x14ac:dyDescent="0.3">
      <c r="B16" s="3" t="s">
        <v>55</v>
      </c>
      <c r="C16" s="38">
        <v>250000</v>
      </c>
      <c r="D16" s="38">
        <v>10000</v>
      </c>
      <c r="E16" s="83">
        <v>10</v>
      </c>
      <c r="F16" s="83" t="s">
        <v>85</v>
      </c>
      <c r="G16" s="1"/>
    </row>
    <row r="17" spans="2:7" x14ac:dyDescent="0.3">
      <c r="B17" s="3" t="s">
        <v>56</v>
      </c>
      <c r="C17" s="38">
        <v>280000</v>
      </c>
      <c r="D17" s="38">
        <v>10000</v>
      </c>
      <c r="E17" s="83">
        <v>10</v>
      </c>
      <c r="F17" s="83" t="s">
        <v>85</v>
      </c>
      <c r="G17" s="1"/>
    </row>
    <row r="18" spans="2:7" x14ac:dyDescent="0.3">
      <c r="B18" s="3" t="s">
        <v>58</v>
      </c>
      <c r="C18" s="38">
        <v>350000</v>
      </c>
      <c r="D18" s="38">
        <v>10000</v>
      </c>
      <c r="E18" s="83">
        <v>10</v>
      </c>
      <c r="F18" s="83" t="s">
        <v>85</v>
      </c>
      <c r="G18" s="1"/>
    </row>
    <row r="19" spans="2:7" x14ac:dyDescent="0.3">
      <c r="B19" s="3" t="s">
        <v>57</v>
      </c>
      <c r="C19" s="38">
        <v>300000</v>
      </c>
      <c r="D19" s="38">
        <v>10000</v>
      </c>
      <c r="E19" s="83">
        <v>10</v>
      </c>
      <c r="F19" s="83" t="s">
        <v>85</v>
      </c>
      <c r="G19" s="1"/>
    </row>
    <row r="20" spans="2:7" x14ac:dyDescent="0.3">
      <c r="B20" s="3" t="s">
        <v>59</v>
      </c>
      <c r="C20" s="38">
        <v>400000</v>
      </c>
      <c r="D20" s="38">
        <v>10000</v>
      </c>
      <c r="E20" s="83">
        <v>10</v>
      </c>
      <c r="F20" s="83" t="s">
        <v>85</v>
      </c>
      <c r="G20" s="1"/>
    </row>
    <row r="21" spans="2:7" x14ac:dyDescent="0.3">
      <c r="B21" s="3" t="s">
        <v>24</v>
      </c>
      <c r="C21" s="38">
        <v>400000</v>
      </c>
      <c r="D21" s="38">
        <v>50000</v>
      </c>
      <c r="E21" s="83">
        <v>10</v>
      </c>
      <c r="F21" s="83" t="s">
        <v>86</v>
      </c>
      <c r="G21" s="1"/>
    </row>
    <row r="22" spans="2:7" x14ac:dyDescent="0.3">
      <c r="B22" s="3" t="s">
        <v>25</v>
      </c>
      <c r="C22" s="38">
        <v>400000</v>
      </c>
      <c r="D22" s="38">
        <v>50000</v>
      </c>
      <c r="E22" s="83">
        <v>10</v>
      </c>
      <c r="F22" s="83" t="s">
        <v>86</v>
      </c>
      <c r="G22" s="1"/>
    </row>
    <row r="23" spans="2:7" x14ac:dyDescent="0.3">
      <c r="B23" s="3" t="s">
        <v>26</v>
      </c>
      <c r="C23" s="38">
        <v>400000</v>
      </c>
      <c r="D23" s="38">
        <v>50000</v>
      </c>
      <c r="E23" s="83">
        <v>10</v>
      </c>
      <c r="F23" s="83" t="s">
        <v>86</v>
      </c>
      <c r="G23" s="1"/>
    </row>
    <row r="24" spans="2:7" x14ac:dyDescent="0.3">
      <c r="B24" s="3" t="s">
        <v>61</v>
      </c>
      <c r="C24" s="38">
        <v>450000</v>
      </c>
      <c r="D24" s="38">
        <v>50000</v>
      </c>
      <c r="E24" s="83">
        <v>10</v>
      </c>
      <c r="F24" s="83" t="s">
        <v>86</v>
      </c>
      <c r="G24" s="1"/>
    </row>
    <row r="25" spans="2:7" x14ac:dyDescent="0.3">
      <c r="B25" s="3" t="s">
        <v>62</v>
      </c>
      <c r="C25" s="38">
        <v>450000</v>
      </c>
      <c r="D25" s="38">
        <v>50000</v>
      </c>
      <c r="E25" s="83">
        <v>10</v>
      </c>
      <c r="F25" s="83" t="s">
        <v>86</v>
      </c>
      <c r="G25" s="1"/>
    </row>
    <row r="26" spans="2:7" x14ac:dyDescent="0.3">
      <c r="B26" s="3" t="s">
        <v>63</v>
      </c>
      <c r="C26" s="38">
        <v>450000</v>
      </c>
      <c r="D26" s="38">
        <v>50000</v>
      </c>
      <c r="E26" s="83">
        <v>10</v>
      </c>
      <c r="F26" s="83" t="s">
        <v>86</v>
      </c>
      <c r="G26" s="1"/>
    </row>
    <row r="27" spans="2:7" x14ac:dyDescent="0.3">
      <c r="B27" s="3" t="s">
        <v>64</v>
      </c>
      <c r="C27" s="38">
        <v>500000</v>
      </c>
      <c r="D27" s="38">
        <v>50000</v>
      </c>
      <c r="E27" s="83">
        <v>10</v>
      </c>
      <c r="F27" s="83" t="s">
        <v>86</v>
      </c>
      <c r="G27" s="1"/>
    </row>
    <row r="28" spans="2:7" x14ac:dyDescent="0.3">
      <c r="B28" s="3" t="s">
        <v>27</v>
      </c>
      <c r="C28" s="38">
        <v>1000000</v>
      </c>
      <c r="D28" s="38">
        <v>100000</v>
      </c>
      <c r="E28" s="83">
        <v>15</v>
      </c>
      <c r="F28" s="83" t="s">
        <v>83</v>
      </c>
      <c r="G28" s="1"/>
    </row>
    <row r="29" spans="2:7" x14ac:dyDescent="0.3">
      <c r="B29" s="3" t="s">
        <v>28</v>
      </c>
      <c r="C29" s="38">
        <v>500000</v>
      </c>
      <c r="D29" s="38">
        <v>100000</v>
      </c>
      <c r="E29" s="83">
        <v>15</v>
      </c>
      <c r="F29" s="83" t="s">
        <v>83</v>
      </c>
      <c r="G29" s="1"/>
    </row>
    <row r="30" spans="2:7" x14ac:dyDescent="0.3">
      <c r="B30" s="3" t="s">
        <v>29</v>
      </c>
      <c r="C30" s="38">
        <v>500000</v>
      </c>
      <c r="D30" s="38">
        <v>100000</v>
      </c>
      <c r="E30" s="83">
        <v>15</v>
      </c>
      <c r="F30" s="83" t="s">
        <v>83</v>
      </c>
      <c r="G30" s="1"/>
    </row>
    <row r="31" spans="2:7" x14ac:dyDescent="0.3">
      <c r="B31" s="3" t="s">
        <v>60</v>
      </c>
      <c r="C31" s="38">
        <v>750000</v>
      </c>
      <c r="D31" s="38">
        <v>100000</v>
      </c>
      <c r="E31" s="83">
        <v>15</v>
      </c>
      <c r="F31" s="83" t="s">
        <v>83</v>
      </c>
      <c r="G31" s="1"/>
    </row>
    <row r="32" spans="2:7" x14ac:dyDescent="0.3">
      <c r="B32" s="3" t="s">
        <v>30</v>
      </c>
      <c r="C32" s="38">
        <v>80000</v>
      </c>
      <c r="D32" s="38">
        <v>2000</v>
      </c>
      <c r="E32" s="83">
        <v>8</v>
      </c>
      <c r="F32" s="83" t="s">
        <v>84</v>
      </c>
      <c r="G32" s="1"/>
    </row>
    <row r="33" spans="2:7" x14ac:dyDescent="0.3">
      <c r="B33" s="3" t="s">
        <v>31</v>
      </c>
      <c r="C33" s="38">
        <v>100000</v>
      </c>
      <c r="D33" s="38">
        <v>2000</v>
      </c>
      <c r="E33" s="83">
        <v>8</v>
      </c>
      <c r="F33" s="83" t="s">
        <v>84</v>
      </c>
      <c r="G33" s="1"/>
    </row>
    <row r="34" spans="2:7" x14ac:dyDescent="0.3">
      <c r="B34" s="3" t="s">
        <v>32</v>
      </c>
      <c r="C34" s="38">
        <v>50000</v>
      </c>
      <c r="D34" s="38">
        <v>2000</v>
      </c>
      <c r="E34" s="83">
        <v>8</v>
      </c>
      <c r="F34" s="83" t="s">
        <v>84</v>
      </c>
      <c r="G34" s="1"/>
    </row>
    <row r="35" spans="2:7" x14ac:dyDescent="0.3">
      <c r="B35" s="3" t="s">
        <v>51</v>
      </c>
      <c r="C35" s="38">
        <v>140000</v>
      </c>
      <c r="D35" s="38">
        <v>2000</v>
      </c>
      <c r="E35" s="83">
        <v>8</v>
      </c>
      <c r="F35" s="83" t="s">
        <v>84</v>
      </c>
      <c r="G35" s="1"/>
    </row>
    <row r="36" spans="2:7" x14ac:dyDescent="0.3">
      <c r="B36" s="3" t="s">
        <v>52</v>
      </c>
      <c r="C36" s="38">
        <v>100000</v>
      </c>
      <c r="D36" s="38">
        <v>2000</v>
      </c>
      <c r="E36" s="83">
        <v>8</v>
      </c>
      <c r="F36" s="83" t="s">
        <v>84</v>
      </c>
      <c r="G36" s="1"/>
    </row>
    <row r="37" spans="2:7" x14ac:dyDescent="0.3">
      <c r="B37" s="3" t="s">
        <v>53</v>
      </c>
      <c r="C37" s="38">
        <v>120000</v>
      </c>
      <c r="D37" s="38">
        <v>2000</v>
      </c>
      <c r="E37" s="83">
        <v>8</v>
      </c>
      <c r="F37" s="83" t="s">
        <v>84</v>
      </c>
      <c r="G37" s="1"/>
    </row>
    <row r="38" spans="2:7" x14ac:dyDescent="0.3">
      <c r="B38" s="4" t="s">
        <v>54</v>
      </c>
      <c r="C38" s="39">
        <v>150000</v>
      </c>
      <c r="D38" s="39">
        <v>2000</v>
      </c>
      <c r="E38" s="84">
        <v>8</v>
      </c>
      <c r="F38" s="84" t="s">
        <v>84</v>
      </c>
      <c r="G38" s="1"/>
    </row>
  </sheetData>
  <mergeCells count="5">
    <mergeCell ref="B10:B11"/>
    <mergeCell ref="C10:C11"/>
    <mergeCell ref="D10:D11"/>
    <mergeCell ref="F10:F11"/>
    <mergeCell ref="E10:E11"/>
  </mergeCells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92"/>
  <sheetViews>
    <sheetView zoomScale="40" zoomScaleNormal="40" workbookViewId="0">
      <selection activeCell="A3" sqref="A3"/>
    </sheetView>
  </sheetViews>
  <sheetFormatPr defaultColWidth="11.5546875" defaultRowHeight="17.25" x14ac:dyDescent="0.3"/>
  <cols>
    <col min="1" max="38" width="3.6640625" customWidth="1"/>
  </cols>
  <sheetData>
    <row r="1" spans="1:38" x14ac:dyDescent="0.3">
      <c r="A1" s="126" t="s">
        <v>139</v>
      </c>
      <c r="C1" s="126"/>
      <c r="D1" s="128"/>
      <c r="E1" s="128"/>
      <c r="F1" s="128"/>
      <c r="G1" s="128"/>
      <c r="H1" s="128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</row>
    <row r="2" spans="1:38" x14ac:dyDescent="0.3">
      <c r="A2" s="126" t="s">
        <v>117</v>
      </c>
      <c r="C2" s="126"/>
      <c r="D2" s="128"/>
      <c r="E2" s="128"/>
      <c r="F2" s="128"/>
      <c r="G2" s="128"/>
      <c r="H2" s="128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</row>
    <row r="3" spans="1:38" x14ac:dyDescent="0.3">
      <c r="A3" s="126" t="s">
        <v>147</v>
      </c>
      <c r="C3" s="126"/>
      <c r="D3" s="128"/>
      <c r="E3" s="128"/>
      <c r="F3" s="128"/>
      <c r="G3" s="128"/>
      <c r="H3" s="128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</row>
    <row r="4" spans="1:38" ht="21.95" customHeight="1" thickBot="1" x14ac:dyDescent="0.35">
      <c r="A4" s="35" t="s">
        <v>116</v>
      </c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</row>
    <row r="5" spans="1:38" ht="21.95" customHeight="1" x14ac:dyDescent="0.3">
      <c r="A5" s="35"/>
      <c r="Y5" s="165" t="s">
        <v>94</v>
      </c>
      <c r="Z5" s="166"/>
      <c r="AA5" s="166"/>
      <c r="AB5" s="166"/>
      <c r="AC5" s="166"/>
      <c r="AD5" s="166"/>
      <c r="AE5" s="166"/>
      <c r="AF5" s="166"/>
      <c r="AG5" s="166"/>
      <c r="AH5" s="166"/>
      <c r="AI5" s="166"/>
      <c r="AJ5" s="166"/>
      <c r="AK5" s="166"/>
      <c r="AL5" s="167"/>
    </row>
    <row r="6" spans="1:38" ht="21.95" customHeight="1" x14ac:dyDescent="0.3">
      <c r="Y6" s="185" t="s">
        <v>97</v>
      </c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186" t="s">
        <v>97</v>
      </c>
    </row>
    <row r="7" spans="1:38" ht="21.95" customHeight="1" thickBot="1" x14ac:dyDescent="0.35">
      <c r="Y7" s="185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186"/>
    </row>
    <row r="8" spans="1:38" ht="21.95" customHeight="1" thickTop="1" x14ac:dyDescent="0.3">
      <c r="D8" s="45"/>
      <c r="E8" s="43"/>
      <c r="F8" s="43"/>
      <c r="G8" s="43"/>
      <c r="H8" s="43"/>
      <c r="I8" s="43" t="s">
        <v>80</v>
      </c>
      <c r="J8" s="43"/>
      <c r="K8" s="43"/>
      <c r="L8" s="43"/>
      <c r="M8" s="43"/>
      <c r="N8" s="43"/>
      <c r="O8" s="43"/>
      <c r="P8" s="43"/>
      <c r="Q8" s="46"/>
      <c r="Y8" s="185"/>
      <c r="Z8" s="88"/>
      <c r="AA8" s="88"/>
      <c r="AB8" s="187" t="s">
        <v>93</v>
      </c>
      <c r="AC8" s="188"/>
      <c r="AD8" s="188"/>
      <c r="AE8" s="188"/>
      <c r="AF8" s="188"/>
      <c r="AG8" s="188"/>
      <c r="AH8" s="188"/>
      <c r="AI8" s="189"/>
      <c r="AJ8" s="88"/>
      <c r="AK8" s="88"/>
      <c r="AL8" s="186"/>
    </row>
    <row r="9" spans="1:38" ht="21.95" customHeight="1" thickBot="1" x14ac:dyDescent="0.35">
      <c r="D9" s="47"/>
      <c r="E9" s="42"/>
      <c r="F9" s="42"/>
      <c r="G9" s="42"/>
      <c r="H9" s="42"/>
      <c r="I9" s="42"/>
      <c r="J9" s="42"/>
      <c r="K9" s="42"/>
      <c r="L9" s="42"/>
      <c r="M9" s="42"/>
      <c r="N9" s="42"/>
      <c r="O9" s="193" t="s">
        <v>78</v>
      </c>
      <c r="P9" s="194"/>
      <c r="Q9" s="48"/>
      <c r="Y9" s="185"/>
      <c r="Z9" s="88"/>
      <c r="AA9" s="88"/>
      <c r="AB9" s="212" t="s">
        <v>72</v>
      </c>
      <c r="AC9" s="213"/>
      <c r="AD9" s="213"/>
      <c r="AE9" s="213"/>
      <c r="AF9" s="213"/>
      <c r="AG9" s="213"/>
      <c r="AH9" s="213"/>
      <c r="AI9" s="214"/>
      <c r="AJ9" s="88"/>
      <c r="AK9" s="88"/>
      <c r="AL9" s="186"/>
    </row>
    <row r="10" spans="1:38" ht="21.95" customHeight="1" thickTop="1" x14ac:dyDescent="0.3">
      <c r="D10" s="47"/>
      <c r="E10" s="42"/>
      <c r="F10" s="190" t="s">
        <v>75</v>
      </c>
      <c r="G10" s="191"/>
      <c r="H10" s="191"/>
      <c r="I10" s="191"/>
      <c r="J10" s="191"/>
      <c r="K10" s="192"/>
      <c r="L10" s="42"/>
      <c r="M10" s="42"/>
      <c r="N10" s="42"/>
      <c r="O10" s="195"/>
      <c r="P10" s="196"/>
      <c r="Q10" s="48"/>
      <c r="Y10" s="185"/>
      <c r="Z10" s="88"/>
      <c r="AA10" s="88"/>
      <c r="AB10" s="89"/>
      <c r="AC10" s="97"/>
      <c r="AD10" s="91"/>
      <c r="AE10" s="92"/>
      <c r="AF10" s="92"/>
      <c r="AG10" s="93"/>
      <c r="AH10" s="97"/>
      <c r="AI10" s="90"/>
      <c r="AJ10" s="88"/>
      <c r="AK10" s="88"/>
      <c r="AL10" s="186"/>
    </row>
    <row r="11" spans="1:38" ht="21.95" customHeight="1" x14ac:dyDescent="0.3">
      <c r="D11" s="47"/>
      <c r="E11" s="42"/>
      <c r="F11" s="179" t="s">
        <v>74</v>
      </c>
      <c r="G11" s="180"/>
      <c r="H11" s="180"/>
      <c r="I11" s="180"/>
      <c r="J11" s="180"/>
      <c r="K11" s="181"/>
      <c r="L11" s="42"/>
      <c r="M11" s="42"/>
      <c r="N11" s="42"/>
      <c r="O11" s="195"/>
      <c r="P11" s="196"/>
      <c r="Q11" s="48"/>
      <c r="Y11" s="185"/>
      <c r="Z11" s="88"/>
      <c r="AA11" s="88"/>
      <c r="AB11" s="89"/>
      <c r="AC11" s="97"/>
      <c r="AD11" s="94"/>
      <c r="AE11" s="88"/>
      <c r="AF11" s="88"/>
      <c r="AG11" s="95"/>
      <c r="AH11" s="97"/>
      <c r="AI11" s="90"/>
      <c r="AJ11" s="88"/>
      <c r="AK11" s="88"/>
      <c r="AL11" s="186"/>
    </row>
    <row r="12" spans="1:38" ht="21.95" customHeight="1" thickBot="1" x14ac:dyDescent="0.35">
      <c r="D12" s="47"/>
      <c r="E12" s="42"/>
      <c r="F12" s="182"/>
      <c r="G12" s="183"/>
      <c r="H12" s="183"/>
      <c r="I12" s="183"/>
      <c r="J12" s="183"/>
      <c r="K12" s="184"/>
      <c r="L12" s="42"/>
      <c r="M12" s="42"/>
      <c r="N12" s="42"/>
      <c r="O12" s="195"/>
      <c r="P12" s="196"/>
      <c r="Q12" s="48"/>
      <c r="Y12" s="185"/>
      <c r="Z12" s="88"/>
      <c r="AA12" s="88"/>
      <c r="AB12" s="89"/>
      <c r="AC12" s="98"/>
      <c r="AD12" s="94"/>
      <c r="AE12" s="88"/>
      <c r="AF12" s="88"/>
      <c r="AG12" s="95"/>
      <c r="AH12" s="98"/>
      <c r="AI12" s="90"/>
      <c r="AJ12" s="88"/>
      <c r="AK12" s="88"/>
      <c r="AL12" s="186"/>
    </row>
    <row r="13" spans="1:38" ht="21.95" customHeight="1" x14ac:dyDescent="0.3">
      <c r="D13" s="47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197"/>
      <c r="P13" s="198"/>
      <c r="Q13" s="48"/>
      <c r="Y13" s="185"/>
      <c r="Z13" s="88"/>
      <c r="AA13" s="88"/>
      <c r="AB13" s="89"/>
      <c r="AC13" s="98"/>
      <c r="AD13" s="94"/>
      <c r="AE13" s="88"/>
      <c r="AF13" s="88"/>
      <c r="AG13" s="95"/>
      <c r="AH13" s="98"/>
      <c r="AI13" s="90"/>
      <c r="AJ13" s="88"/>
      <c r="AK13" s="88"/>
      <c r="AL13" s="186"/>
    </row>
    <row r="14" spans="1:38" ht="21.95" customHeight="1" thickBot="1" x14ac:dyDescent="0.35">
      <c r="D14" s="49"/>
      <c r="E14" s="44"/>
      <c r="F14" s="44"/>
      <c r="G14" s="44"/>
      <c r="H14" s="44"/>
      <c r="I14" s="44"/>
      <c r="J14" s="70" t="s">
        <v>79</v>
      </c>
      <c r="K14" s="44"/>
      <c r="L14" s="44"/>
      <c r="M14" s="44"/>
      <c r="N14" s="44"/>
      <c r="O14" s="44"/>
      <c r="P14" s="44"/>
      <c r="Q14" s="50"/>
      <c r="Y14" s="185"/>
      <c r="Z14" s="88"/>
      <c r="AA14" s="88"/>
      <c r="AB14" s="89"/>
      <c r="AC14" s="98"/>
      <c r="AD14" s="94"/>
      <c r="AE14" s="88"/>
      <c r="AF14" s="88"/>
      <c r="AG14" s="95"/>
      <c r="AH14" s="98"/>
      <c r="AI14" s="90"/>
      <c r="AJ14" s="88"/>
      <c r="AK14" s="88"/>
      <c r="AL14" s="186"/>
    </row>
    <row r="15" spans="1:38" ht="21.95" customHeight="1" thickTop="1" x14ac:dyDescent="0.3">
      <c r="Y15" s="185"/>
      <c r="Z15" s="88"/>
      <c r="AA15" s="88"/>
      <c r="AB15" s="96"/>
      <c r="AC15" s="96"/>
      <c r="AD15" s="88"/>
      <c r="AE15" s="88"/>
      <c r="AF15" s="88"/>
      <c r="AG15" s="88"/>
      <c r="AH15" s="96"/>
      <c r="AI15" s="96"/>
      <c r="AJ15" s="88"/>
      <c r="AK15" s="88"/>
      <c r="AL15" s="186"/>
    </row>
    <row r="16" spans="1:38" ht="21.95" customHeight="1" thickBot="1" x14ac:dyDescent="0.35">
      <c r="Y16" s="185"/>
      <c r="Z16" s="88"/>
      <c r="AA16" s="206" t="s">
        <v>92</v>
      </c>
      <c r="AB16" s="207"/>
      <c r="AC16" s="207"/>
      <c r="AD16" s="207"/>
      <c r="AE16" s="207"/>
      <c r="AF16" s="207"/>
      <c r="AG16" s="207"/>
      <c r="AH16" s="207"/>
      <c r="AI16" s="207"/>
      <c r="AJ16" s="208"/>
      <c r="AK16" s="88"/>
      <c r="AL16" s="186"/>
    </row>
    <row r="17" spans="2:38" ht="21.95" customHeight="1" x14ac:dyDescent="0.3">
      <c r="B17" s="51"/>
      <c r="C17" s="52"/>
      <c r="D17" s="52"/>
      <c r="E17" s="52"/>
      <c r="F17" s="52"/>
      <c r="G17" s="52"/>
      <c r="H17" s="52"/>
      <c r="I17" s="52"/>
      <c r="J17" s="52"/>
      <c r="K17" s="52"/>
      <c r="L17" s="53" t="s">
        <v>77</v>
      </c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4"/>
      <c r="Y17" s="185"/>
      <c r="Z17" s="88"/>
      <c r="AA17" s="209"/>
      <c r="AB17" s="210"/>
      <c r="AC17" s="210"/>
      <c r="AD17" s="210"/>
      <c r="AE17" s="210"/>
      <c r="AF17" s="210"/>
      <c r="AG17" s="210"/>
      <c r="AH17" s="210"/>
      <c r="AI17" s="210"/>
      <c r="AJ17" s="211"/>
      <c r="AK17" s="88"/>
      <c r="AL17" s="186"/>
    </row>
    <row r="18" spans="2:38" ht="21.95" customHeight="1" thickBot="1" x14ac:dyDescent="0.35">
      <c r="B18" s="55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56"/>
      <c r="Y18" s="99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2"/>
    </row>
    <row r="19" spans="2:38" ht="21.95" customHeight="1" thickTop="1" thickBot="1" x14ac:dyDescent="0.35">
      <c r="B19" s="55"/>
      <c r="C19" s="40"/>
      <c r="D19" s="40"/>
      <c r="E19" s="40"/>
      <c r="F19" s="40"/>
      <c r="G19" s="40"/>
      <c r="H19" s="40"/>
      <c r="I19" s="40"/>
      <c r="J19" s="40"/>
      <c r="K19" s="40"/>
      <c r="L19" s="41" t="s">
        <v>69</v>
      </c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56"/>
    </row>
    <row r="20" spans="2:38" ht="21.95" customHeight="1" x14ac:dyDescent="0.3">
      <c r="B20" s="55"/>
      <c r="C20" s="171" t="s">
        <v>69</v>
      </c>
      <c r="D20" s="40"/>
      <c r="E20" s="60"/>
      <c r="F20" s="61"/>
      <c r="G20" s="61"/>
      <c r="H20" s="61"/>
      <c r="I20" s="61"/>
      <c r="J20" s="61"/>
      <c r="K20" s="61"/>
      <c r="L20" s="62" t="s">
        <v>76</v>
      </c>
      <c r="M20" s="61"/>
      <c r="N20" s="61"/>
      <c r="O20" s="61"/>
      <c r="P20" s="61"/>
      <c r="Q20" s="61"/>
      <c r="R20" s="61"/>
      <c r="S20" s="61"/>
      <c r="T20" s="63"/>
      <c r="U20" s="40"/>
      <c r="V20" s="171" t="s">
        <v>69</v>
      </c>
      <c r="W20" s="56"/>
    </row>
    <row r="21" spans="2:38" ht="21.95" customHeight="1" x14ac:dyDescent="0.3">
      <c r="B21" s="55"/>
      <c r="C21" s="171"/>
      <c r="D21" s="40"/>
      <c r="E21" s="64"/>
      <c r="F21" s="178" t="s">
        <v>73</v>
      </c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178"/>
      <c r="R21" s="178"/>
      <c r="S21" s="178"/>
      <c r="T21" s="65"/>
      <c r="U21" s="40"/>
      <c r="V21" s="171"/>
      <c r="W21" s="56"/>
    </row>
    <row r="22" spans="2:38" ht="21.95" customHeight="1" x14ac:dyDescent="0.3">
      <c r="B22" s="55"/>
      <c r="C22" s="171"/>
      <c r="D22" s="40"/>
      <c r="E22" s="64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65"/>
      <c r="U22" s="40"/>
      <c r="V22" s="171"/>
      <c r="W22" s="56"/>
    </row>
    <row r="23" spans="2:38" ht="21.95" customHeight="1" x14ac:dyDescent="0.3">
      <c r="B23" s="55"/>
      <c r="C23" s="171"/>
      <c r="D23" s="40"/>
      <c r="E23" s="64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8"/>
      <c r="Q23" s="178"/>
      <c r="R23" s="178"/>
      <c r="S23" s="178"/>
      <c r="T23" s="65"/>
      <c r="U23" s="40"/>
      <c r="V23" s="171"/>
      <c r="W23" s="56"/>
    </row>
    <row r="24" spans="2:38" ht="21.95" customHeight="1" x14ac:dyDescent="0.3">
      <c r="B24" s="55"/>
      <c r="C24" s="171"/>
      <c r="D24" s="40"/>
      <c r="E24" s="64"/>
      <c r="F24" s="178"/>
      <c r="G24" s="178"/>
      <c r="H24" s="178"/>
      <c r="I24" s="178"/>
      <c r="J24" s="178"/>
      <c r="K24" s="178"/>
      <c r="L24" s="178"/>
      <c r="M24" s="178"/>
      <c r="N24" s="178"/>
      <c r="O24" s="178"/>
      <c r="P24" s="178"/>
      <c r="Q24" s="178"/>
      <c r="R24" s="178"/>
      <c r="S24" s="178"/>
      <c r="T24" s="65"/>
      <c r="U24" s="40"/>
      <c r="V24" s="171"/>
      <c r="W24" s="56"/>
    </row>
    <row r="25" spans="2:38" ht="21.95" customHeight="1" thickBot="1" x14ac:dyDescent="0.35">
      <c r="B25" s="55"/>
      <c r="C25" s="171"/>
      <c r="D25" s="40"/>
      <c r="E25" s="66"/>
      <c r="F25" s="67"/>
      <c r="G25" s="67"/>
      <c r="H25" s="67"/>
      <c r="I25" s="67"/>
      <c r="J25" s="68"/>
      <c r="K25" s="68"/>
      <c r="L25" s="68"/>
      <c r="M25" s="68"/>
      <c r="N25" s="68"/>
      <c r="O25" s="68"/>
      <c r="P25" s="67"/>
      <c r="Q25" s="67"/>
      <c r="R25" s="67"/>
      <c r="S25" s="67"/>
      <c r="T25" s="69"/>
      <c r="U25" s="40"/>
      <c r="V25" s="171"/>
      <c r="W25" s="56"/>
    </row>
    <row r="26" spans="2:38" ht="21.95" customHeight="1" x14ac:dyDescent="0.3">
      <c r="B26" s="55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56"/>
    </row>
    <row r="27" spans="2:38" ht="21.95" customHeight="1" x14ac:dyDescent="0.3">
      <c r="B27" s="55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56"/>
    </row>
    <row r="28" spans="2:38" ht="21.95" customHeight="1" x14ac:dyDescent="0.3">
      <c r="B28" s="55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56"/>
    </row>
    <row r="29" spans="2:38" ht="21.95" customHeight="1" x14ac:dyDescent="0.3">
      <c r="B29" s="55"/>
      <c r="C29" s="40"/>
      <c r="D29" s="172" t="s">
        <v>71</v>
      </c>
      <c r="E29" s="173"/>
      <c r="F29" s="173"/>
      <c r="G29" s="173"/>
      <c r="H29" s="173"/>
      <c r="I29" s="173"/>
      <c r="J29" s="173"/>
      <c r="K29" s="174"/>
      <c r="L29" s="40"/>
      <c r="M29" s="40"/>
      <c r="N29" s="172" t="s">
        <v>70</v>
      </c>
      <c r="O29" s="173"/>
      <c r="P29" s="173"/>
      <c r="Q29" s="173"/>
      <c r="R29" s="173"/>
      <c r="S29" s="173"/>
      <c r="T29" s="173"/>
      <c r="U29" s="174"/>
      <c r="V29" s="40"/>
      <c r="W29" s="56"/>
    </row>
    <row r="30" spans="2:38" ht="21.95" customHeight="1" x14ac:dyDescent="0.3">
      <c r="B30" s="55"/>
      <c r="C30" s="40"/>
      <c r="D30" s="175"/>
      <c r="E30" s="176"/>
      <c r="F30" s="176"/>
      <c r="G30" s="176"/>
      <c r="H30" s="176"/>
      <c r="I30" s="176"/>
      <c r="J30" s="176"/>
      <c r="K30" s="177"/>
      <c r="L30" s="40"/>
      <c r="M30" s="40"/>
      <c r="N30" s="175"/>
      <c r="O30" s="176"/>
      <c r="P30" s="176"/>
      <c r="Q30" s="176"/>
      <c r="R30" s="176"/>
      <c r="S30" s="176"/>
      <c r="T30" s="176"/>
      <c r="U30" s="177"/>
      <c r="V30" s="40"/>
      <c r="W30" s="56"/>
    </row>
    <row r="31" spans="2:38" ht="21.95" customHeight="1" thickBot="1" x14ac:dyDescent="0.35">
      <c r="B31" s="57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9"/>
    </row>
    <row r="32" spans="2:38" ht="21.95" customHeight="1" x14ac:dyDescent="0.3"/>
    <row r="33" spans="2:37" ht="21.95" customHeight="1" thickBot="1" x14ac:dyDescent="0.35"/>
    <row r="34" spans="2:37" ht="21.95" customHeight="1" x14ac:dyDescent="0.3">
      <c r="B34" s="234" t="s">
        <v>96</v>
      </c>
      <c r="C34" s="235"/>
      <c r="D34" s="235"/>
      <c r="E34" s="235"/>
      <c r="F34" s="235"/>
      <c r="G34" s="235"/>
      <c r="H34" s="235"/>
      <c r="I34" s="235"/>
      <c r="J34" s="235"/>
      <c r="K34" s="235"/>
      <c r="L34" s="235"/>
      <c r="M34" s="235"/>
      <c r="N34" s="235"/>
      <c r="O34" s="235"/>
      <c r="P34" s="235"/>
      <c r="Q34" s="235"/>
      <c r="R34" s="235"/>
      <c r="S34" s="235"/>
      <c r="T34" s="235"/>
      <c r="U34" s="235"/>
      <c r="V34" s="235"/>
      <c r="W34" s="235"/>
      <c r="X34" s="235"/>
      <c r="Y34" s="235"/>
      <c r="Z34" s="235"/>
      <c r="AA34" s="235"/>
      <c r="AB34" s="235"/>
      <c r="AC34" s="235"/>
      <c r="AD34" s="235"/>
      <c r="AE34" s="235"/>
      <c r="AF34" s="235"/>
      <c r="AG34" s="235"/>
      <c r="AH34" s="235"/>
      <c r="AI34" s="235"/>
      <c r="AJ34" s="235"/>
      <c r="AK34" s="236"/>
    </row>
    <row r="35" spans="2:37" ht="21.95" customHeight="1" x14ac:dyDescent="0.3">
      <c r="B35" s="76"/>
      <c r="C35" s="199" t="s">
        <v>71</v>
      </c>
      <c r="D35" s="200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101" t="s">
        <v>69</v>
      </c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199" t="s">
        <v>70</v>
      </c>
      <c r="AJ35" s="200"/>
      <c r="AK35" s="78"/>
    </row>
    <row r="36" spans="2:37" ht="21.95" customHeight="1" thickBot="1" x14ac:dyDescent="0.35">
      <c r="B36" s="76"/>
      <c r="C36" s="201"/>
      <c r="D36" s="202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201"/>
      <c r="AJ36" s="202"/>
      <c r="AK36" s="78"/>
    </row>
    <row r="37" spans="2:37" ht="21.95" customHeight="1" x14ac:dyDescent="0.3">
      <c r="B37" s="76"/>
      <c r="C37" s="201"/>
      <c r="D37" s="202"/>
      <c r="E37" s="77"/>
      <c r="F37" s="77"/>
      <c r="G37" s="77"/>
      <c r="H37" s="168" t="s">
        <v>95</v>
      </c>
      <c r="I37" s="169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70"/>
      <c r="AF37" s="77"/>
      <c r="AG37" s="77"/>
      <c r="AH37" s="77"/>
      <c r="AI37" s="201"/>
      <c r="AJ37" s="202"/>
      <c r="AK37" s="78"/>
    </row>
    <row r="38" spans="2:37" ht="21.95" customHeight="1" x14ac:dyDescent="0.3">
      <c r="B38" s="76"/>
      <c r="C38" s="201"/>
      <c r="D38" s="202"/>
      <c r="E38" s="77"/>
      <c r="F38" s="77"/>
      <c r="G38" s="77"/>
      <c r="H38" s="74"/>
      <c r="I38" s="205" t="s">
        <v>81</v>
      </c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  <c r="AC38" s="205"/>
      <c r="AD38" s="205"/>
      <c r="AE38" s="75"/>
      <c r="AF38" s="77"/>
      <c r="AG38" s="77"/>
      <c r="AH38" s="77"/>
      <c r="AI38" s="201"/>
      <c r="AJ38" s="202"/>
      <c r="AK38" s="78"/>
    </row>
    <row r="39" spans="2:37" ht="21.95" customHeight="1" x14ac:dyDescent="0.3">
      <c r="B39" s="76"/>
      <c r="C39" s="201"/>
      <c r="D39" s="202"/>
      <c r="E39" s="77"/>
      <c r="F39" s="77"/>
      <c r="G39" s="77"/>
      <c r="H39" s="74"/>
      <c r="I39" s="205"/>
      <c r="J39" s="205"/>
      <c r="K39" s="205"/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205"/>
      <c r="Z39" s="205"/>
      <c r="AA39" s="205"/>
      <c r="AB39" s="205"/>
      <c r="AC39" s="205"/>
      <c r="AD39" s="205"/>
      <c r="AE39" s="75"/>
      <c r="AF39" s="77"/>
      <c r="AG39" s="77"/>
      <c r="AH39" s="77"/>
      <c r="AI39" s="201"/>
      <c r="AJ39" s="202"/>
      <c r="AK39" s="78"/>
    </row>
    <row r="40" spans="2:37" ht="21.95" customHeight="1" x14ac:dyDescent="0.3">
      <c r="B40" s="76"/>
      <c r="C40" s="201"/>
      <c r="D40" s="202"/>
      <c r="E40" s="77"/>
      <c r="F40" s="77"/>
      <c r="G40" s="77"/>
      <c r="H40" s="74"/>
      <c r="I40" s="205"/>
      <c r="J40" s="205"/>
      <c r="K40" s="205"/>
      <c r="L40" s="205"/>
      <c r="M40" s="205"/>
      <c r="N40" s="205"/>
      <c r="O40" s="205"/>
      <c r="P40" s="205"/>
      <c r="Q40" s="205"/>
      <c r="R40" s="205"/>
      <c r="S40" s="205"/>
      <c r="T40" s="205"/>
      <c r="U40" s="205"/>
      <c r="V40" s="205"/>
      <c r="W40" s="205"/>
      <c r="X40" s="205"/>
      <c r="Y40" s="205"/>
      <c r="Z40" s="205"/>
      <c r="AA40" s="205"/>
      <c r="AB40" s="205"/>
      <c r="AC40" s="205"/>
      <c r="AD40" s="205"/>
      <c r="AE40" s="75"/>
      <c r="AF40" s="77"/>
      <c r="AG40" s="77"/>
      <c r="AH40" s="77"/>
      <c r="AI40" s="201"/>
      <c r="AJ40" s="202"/>
      <c r="AK40" s="78"/>
    </row>
    <row r="41" spans="2:37" ht="21.95" customHeight="1" thickBot="1" x14ac:dyDescent="0.35">
      <c r="B41" s="76"/>
      <c r="C41" s="201"/>
      <c r="D41" s="202"/>
      <c r="E41" s="77"/>
      <c r="F41" s="77"/>
      <c r="G41" s="77"/>
      <c r="H41" s="71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3"/>
      <c r="AF41" s="77"/>
      <c r="AG41" s="77"/>
      <c r="AH41" s="77"/>
      <c r="AI41" s="201"/>
      <c r="AJ41" s="202"/>
      <c r="AK41" s="78"/>
    </row>
    <row r="42" spans="2:37" ht="21.95" customHeight="1" x14ac:dyDescent="0.3">
      <c r="B42" s="76"/>
      <c r="C42" s="201"/>
      <c r="D42" s="202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201"/>
      <c r="AJ42" s="202"/>
      <c r="AK42" s="78"/>
    </row>
    <row r="43" spans="2:37" ht="21.95" customHeight="1" x14ac:dyDescent="0.3">
      <c r="B43" s="76"/>
      <c r="C43" s="203"/>
      <c r="D43" s="204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101" t="s">
        <v>69</v>
      </c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203"/>
      <c r="AJ43" s="204"/>
      <c r="AK43" s="78"/>
    </row>
    <row r="44" spans="2:37" ht="21.95" customHeight="1" thickBot="1" x14ac:dyDescent="0.35">
      <c r="B44" s="79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2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1"/>
    </row>
    <row r="45" spans="2:37" ht="21.95" customHeight="1" x14ac:dyDescent="0.3"/>
    <row r="46" spans="2:37" ht="21.95" customHeight="1" x14ac:dyDescent="0.3"/>
    <row r="47" spans="2:37" ht="21.95" customHeight="1" x14ac:dyDescent="0.3"/>
    <row r="48" spans="2:37" ht="21.95" customHeight="1" x14ac:dyDescent="0.3">
      <c r="G48" s="12"/>
      <c r="H48" s="13"/>
      <c r="I48" s="13"/>
      <c r="J48" s="13"/>
      <c r="K48" s="13"/>
      <c r="L48" s="13"/>
      <c r="M48" s="13"/>
      <c r="N48" s="238" t="s">
        <v>110</v>
      </c>
      <c r="O48" s="238"/>
      <c r="P48" s="238"/>
      <c r="Q48" s="241"/>
      <c r="V48" s="237" t="s">
        <v>109</v>
      </c>
      <c r="W48" s="238"/>
      <c r="X48" s="238"/>
      <c r="Y48" s="238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  <c r="AJ48" s="23"/>
    </row>
    <row r="49" spans="7:36" ht="21.95" customHeight="1" x14ac:dyDescent="0.3">
      <c r="G49" s="113"/>
      <c r="H49" s="88"/>
      <c r="I49" s="88"/>
      <c r="J49" s="88"/>
      <c r="K49" s="88"/>
      <c r="L49" s="88"/>
      <c r="M49" s="88"/>
      <c r="N49" s="240"/>
      <c r="O49" s="240"/>
      <c r="P49" s="240"/>
      <c r="Q49" s="242"/>
      <c r="V49" s="239"/>
      <c r="W49" s="240"/>
      <c r="X49" s="240"/>
      <c r="Y49" s="240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20"/>
    </row>
    <row r="50" spans="7:36" ht="21.95" customHeight="1" thickBot="1" x14ac:dyDescent="0.35">
      <c r="G50" s="113"/>
      <c r="H50" s="88"/>
      <c r="I50" s="88"/>
      <c r="J50" s="88"/>
      <c r="K50" s="88"/>
      <c r="L50" s="88"/>
      <c r="M50" s="88"/>
      <c r="N50" s="88"/>
      <c r="O50" s="88"/>
      <c r="P50" s="88"/>
      <c r="Q50" s="20"/>
      <c r="V50" s="113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20"/>
    </row>
    <row r="51" spans="7:36" ht="21.95" customHeight="1" x14ac:dyDescent="0.3">
      <c r="G51" s="113"/>
      <c r="H51" s="88"/>
      <c r="I51" s="88"/>
      <c r="J51" s="255" t="s">
        <v>108</v>
      </c>
      <c r="K51" s="256"/>
      <c r="L51" s="256"/>
      <c r="M51" s="256"/>
      <c r="N51" s="257"/>
      <c r="O51" s="88"/>
      <c r="P51" s="88"/>
      <c r="Q51" s="20"/>
      <c r="V51" s="113"/>
      <c r="W51" s="88"/>
      <c r="X51" s="88"/>
      <c r="Y51" s="255" t="s">
        <v>108</v>
      </c>
      <c r="Z51" s="256"/>
      <c r="AA51" s="256"/>
      <c r="AB51" s="256"/>
      <c r="AC51" s="256"/>
      <c r="AD51" s="256"/>
      <c r="AE51" s="256"/>
      <c r="AF51" s="256"/>
      <c r="AG51" s="257"/>
      <c r="AH51" s="88"/>
      <c r="AI51" s="88"/>
      <c r="AJ51" s="20"/>
    </row>
    <row r="52" spans="7:36" ht="21.95" customHeight="1" thickBot="1" x14ac:dyDescent="0.35">
      <c r="G52" s="113"/>
      <c r="H52" s="88"/>
      <c r="I52" s="88"/>
      <c r="J52" s="258"/>
      <c r="K52" s="259"/>
      <c r="L52" s="259"/>
      <c r="M52" s="259"/>
      <c r="N52" s="260"/>
      <c r="O52" s="88"/>
      <c r="P52" s="88"/>
      <c r="Q52" s="20"/>
      <c r="V52" s="113"/>
      <c r="W52" s="88"/>
      <c r="X52" s="88"/>
      <c r="Y52" s="258"/>
      <c r="Z52" s="259"/>
      <c r="AA52" s="259"/>
      <c r="AB52" s="259"/>
      <c r="AC52" s="259"/>
      <c r="AD52" s="259"/>
      <c r="AE52" s="259"/>
      <c r="AF52" s="259"/>
      <c r="AG52" s="260"/>
      <c r="AH52" s="88"/>
      <c r="AI52" s="88"/>
      <c r="AJ52" s="20"/>
    </row>
    <row r="53" spans="7:36" ht="21.95" customHeight="1" thickBot="1" x14ac:dyDescent="0.35">
      <c r="G53" s="116"/>
      <c r="H53" s="88"/>
      <c r="I53" s="88"/>
      <c r="J53" s="221" t="s">
        <v>111</v>
      </c>
      <c r="K53" s="222"/>
      <c r="L53" s="222"/>
      <c r="M53" s="222"/>
      <c r="N53" s="223"/>
      <c r="O53" s="88"/>
      <c r="P53" s="88"/>
      <c r="Q53" s="115"/>
      <c r="V53" s="113"/>
      <c r="W53" s="88"/>
      <c r="X53" s="88"/>
      <c r="Y53" s="221" t="s">
        <v>112</v>
      </c>
      <c r="Z53" s="222"/>
      <c r="AA53" s="222"/>
      <c r="AB53" s="222"/>
      <c r="AC53" s="222"/>
      <c r="AD53" s="222"/>
      <c r="AE53" s="222"/>
      <c r="AF53" s="222"/>
      <c r="AG53" s="223"/>
      <c r="AH53" s="88"/>
      <c r="AI53" s="88"/>
      <c r="AJ53" s="20"/>
    </row>
    <row r="54" spans="7:36" ht="21.95" customHeight="1" x14ac:dyDescent="0.3">
      <c r="G54" s="261" t="s">
        <v>104</v>
      </c>
      <c r="H54" s="248"/>
      <c r="I54" s="262"/>
      <c r="J54" s="109"/>
      <c r="K54" s="251" t="s">
        <v>103</v>
      </c>
      <c r="L54" s="252"/>
      <c r="M54" s="253"/>
      <c r="N54" s="110"/>
      <c r="O54" s="265" t="s">
        <v>105</v>
      </c>
      <c r="P54" s="224"/>
      <c r="Q54" s="266"/>
      <c r="V54" s="247" t="s">
        <v>104</v>
      </c>
      <c r="W54" s="248"/>
      <c r="X54" s="248"/>
      <c r="Y54" s="105"/>
      <c r="Z54" s="251" t="s">
        <v>103</v>
      </c>
      <c r="AA54" s="252"/>
      <c r="AB54" s="253"/>
      <c r="AC54" s="106"/>
      <c r="AD54" s="215" t="s">
        <v>107</v>
      </c>
      <c r="AE54" s="216"/>
      <c r="AF54" s="217"/>
      <c r="AG54" s="106"/>
      <c r="AH54" s="224" t="s">
        <v>105</v>
      </c>
      <c r="AI54" s="224"/>
      <c r="AJ54" s="225"/>
    </row>
    <row r="55" spans="7:36" ht="21.95" customHeight="1" thickBot="1" x14ac:dyDescent="0.35">
      <c r="G55" s="263"/>
      <c r="H55" s="250"/>
      <c r="I55" s="264"/>
      <c r="J55" s="111"/>
      <c r="K55" s="254"/>
      <c r="L55" s="226"/>
      <c r="M55" s="227"/>
      <c r="N55" s="112"/>
      <c r="O55" s="267"/>
      <c r="P55" s="226"/>
      <c r="Q55" s="268"/>
      <c r="V55" s="249"/>
      <c r="W55" s="250"/>
      <c r="X55" s="250"/>
      <c r="Y55" s="107"/>
      <c r="Z55" s="254"/>
      <c r="AA55" s="226"/>
      <c r="AB55" s="227"/>
      <c r="AC55" s="108"/>
      <c r="AD55" s="218"/>
      <c r="AE55" s="219"/>
      <c r="AF55" s="220"/>
      <c r="AG55" s="108"/>
      <c r="AH55" s="226"/>
      <c r="AI55" s="226"/>
      <c r="AJ55" s="227"/>
    </row>
    <row r="56" spans="7:36" ht="21.95" customHeight="1" thickBot="1" x14ac:dyDescent="0.35">
      <c r="G56" s="113"/>
      <c r="H56" s="88"/>
      <c r="I56" s="88"/>
      <c r="J56" s="88"/>
      <c r="K56" s="88"/>
      <c r="L56" s="88"/>
      <c r="M56" s="88"/>
      <c r="N56" s="88"/>
      <c r="O56" s="88"/>
      <c r="P56" s="88"/>
      <c r="Q56" s="118"/>
      <c r="V56" s="113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20"/>
    </row>
    <row r="57" spans="7:36" ht="21.95" customHeight="1" x14ac:dyDescent="0.3">
      <c r="G57" s="113"/>
      <c r="H57" s="88"/>
      <c r="I57" s="88"/>
      <c r="J57" s="88"/>
      <c r="K57" s="88"/>
      <c r="L57" s="88"/>
      <c r="M57" s="88"/>
      <c r="N57" s="88"/>
      <c r="O57" s="228" t="s">
        <v>106</v>
      </c>
      <c r="P57" s="229"/>
      <c r="Q57" s="243"/>
      <c r="V57" s="113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228" t="s">
        <v>106</v>
      </c>
      <c r="AI57" s="229"/>
      <c r="AJ57" s="230"/>
    </row>
    <row r="58" spans="7:36" ht="21.95" customHeight="1" thickBot="1" x14ac:dyDescent="0.35">
      <c r="G58" s="114"/>
      <c r="H58" s="103"/>
      <c r="I58" s="103"/>
      <c r="J58" s="103"/>
      <c r="K58" s="103"/>
      <c r="L58" s="103"/>
      <c r="M58" s="103"/>
      <c r="N58" s="117"/>
      <c r="O58" s="244"/>
      <c r="P58" s="245"/>
      <c r="Q58" s="246"/>
      <c r="V58" s="114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231"/>
      <c r="AI58" s="232"/>
      <c r="AJ58" s="233"/>
    </row>
    <row r="59" spans="7:36" ht="21.95" customHeight="1" x14ac:dyDescent="0.3"/>
    <row r="60" spans="7:36" ht="21.95" customHeight="1" x14ac:dyDescent="0.3"/>
    <row r="61" spans="7:36" ht="21.95" customHeight="1" x14ac:dyDescent="0.3"/>
    <row r="62" spans="7:36" ht="21.95" customHeight="1" x14ac:dyDescent="0.3"/>
    <row r="63" spans="7:36" ht="21.95" customHeight="1" x14ac:dyDescent="0.3"/>
    <row r="64" spans="7:36" ht="21.95" customHeight="1" x14ac:dyDescent="0.3"/>
    <row r="65" ht="21.95" customHeight="1" x14ac:dyDescent="0.3"/>
    <row r="66" ht="21.95" customHeight="1" x14ac:dyDescent="0.3"/>
    <row r="67" ht="21.95" customHeight="1" x14ac:dyDescent="0.3"/>
    <row r="68" ht="21.95" customHeight="1" x14ac:dyDescent="0.3"/>
    <row r="69" ht="21.95" customHeight="1" x14ac:dyDescent="0.3"/>
    <row r="70" ht="21.95" customHeight="1" x14ac:dyDescent="0.3"/>
    <row r="71" ht="21.95" customHeight="1" x14ac:dyDescent="0.3"/>
    <row r="72" ht="21.95" customHeight="1" x14ac:dyDescent="0.3"/>
    <row r="73" ht="21.95" customHeight="1" x14ac:dyDescent="0.3"/>
    <row r="74" ht="21.95" customHeight="1" x14ac:dyDescent="0.3"/>
    <row r="75" ht="21.95" customHeight="1" x14ac:dyDescent="0.3"/>
    <row r="76" ht="21.95" customHeight="1" x14ac:dyDescent="0.3"/>
    <row r="77" ht="21.95" customHeight="1" x14ac:dyDescent="0.3"/>
    <row r="78" ht="21.95" customHeight="1" x14ac:dyDescent="0.3"/>
    <row r="79" ht="21.95" customHeight="1" x14ac:dyDescent="0.3"/>
    <row r="80" ht="21.95" customHeight="1" x14ac:dyDescent="0.3"/>
    <row r="81" ht="21.95" customHeight="1" x14ac:dyDescent="0.3"/>
    <row r="82" ht="21.95" customHeight="1" x14ac:dyDescent="0.3"/>
    <row r="83" ht="21.95" customHeight="1" x14ac:dyDescent="0.3"/>
    <row r="84" ht="21.95" customHeight="1" x14ac:dyDescent="0.3"/>
    <row r="85" ht="21.95" customHeight="1" x14ac:dyDescent="0.3"/>
    <row r="86" ht="21.95" customHeight="1" x14ac:dyDescent="0.3"/>
    <row r="87" ht="21.95" customHeight="1" x14ac:dyDescent="0.3"/>
    <row r="88" ht="21.95" customHeight="1" x14ac:dyDescent="0.3"/>
    <row r="89" ht="21.95" customHeight="1" x14ac:dyDescent="0.3"/>
    <row r="90" ht="21.95" customHeight="1" x14ac:dyDescent="0.3"/>
    <row r="91" ht="21.95" customHeight="1" x14ac:dyDescent="0.3"/>
    <row r="92" ht="21.95" customHeight="1" x14ac:dyDescent="0.3"/>
  </sheetData>
  <mergeCells count="34">
    <mergeCell ref="O54:Q55"/>
    <mergeCell ref="J51:N52"/>
    <mergeCell ref="AB9:AI9"/>
    <mergeCell ref="AD54:AF55"/>
    <mergeCell ref="Y53:AG53"/>
    <mergeCell ref="AH54:AJ55"/>
    <mergeCell ref="AH57:AJ58"/>
    <mergeCell ref="B34:AK34"/>
    <mergeCell ref="C35:D43"/>
    <mergeCell ref="V48:Y49"/>
    <mergeCell ref="N48:Q49"/>
    <mergeCell ref="O57:Q58"/>
    <mergeCell ref="V54:X55"/>
    <mergeCell ref="Z54:AB55"/>
    <mergeCell ref="Y51:AG52"/>
    <mergeCell ref="J53:N53"/>
    <mergeCell ref="K54:M55"/>
    <mergeCell ref="G54:I55"/>
    <mergeCell ref="Y5:AL5"/>
    <mergeCell ref="H37:AE37"/>
    <mergeCell ref="C20:C25"/>
    <mergeCell ref="V20:V25"/>
    <mergeCell ref="D29:K30"/>
    <mergeCell ref="N29:U30"/>
    <mergeCell ref="F21:S24"/>
    <mergeCell ref="F11:K12"/>
    <mergeCell ref="Y6:Y17"/>
    <mergeCell ref="AL6:AL17"/>
    <mergeCell ref="AB8:AI8"/>
    <mergeCell ref="F10:K10"/>
    <mergeCell ref="O9:P13"/>
    <mergeCell ref="AI35:AJ43"/>
    <mergeCell ref="I38:AD40"/>
    <mergeCell ref="AA16:AJ17"/>
  </mergeCells>
  <phoneticPr fontId="11" type="noConversion"/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A040C-DE79-164D-AC04-1578493D3B6C}">
  <dimension ref="A1:AA74"/>
  <sheetViews>
    <sheetView topLeftCell="A3" zoomScale="40" zoomScaleNormal="40" workbookViewId="0">
      <selection activeCell="B10" sqref="B10:K10"/>
    </sheetView>
  </sheetViews>
  <sheetFormatPr defaultColWidth="11.5546875" defaultRowHeight="17.25" x14ac:dyDescent="0.3"/>
  <sheetData>
    <row r="1" spans="1:11" x14ac:dyDescent="0.3">
      <c r="A1" s="126" t="s">
        <v>139</v>
      </c>
    </row>
    <row r="2" spans="1:11" x14ac:dyDescent="0.3">
      <c r="A2" s="126" t="s">
        <v>117</v>
      </c>
    </row>
    <row r="3" spans="1:11" x14ac:dyDescent="0.3">
      <c r="A3" s="126" t="s">
        <v>147</v>
      </c>
    </row>
    <row r="4" spans="1:11" x14ac:dyDescent="0.3">
      <c r="A4" s="125" t="s">
        <v>140</v>
      </c>
    </row>
    <row r="10" spans="1:11" x14ac:dyDescent="0.3">
      <c r="B10" s="148" t="s">
        <v>132</v>
      </c>
      <c r="C10" s="149"/>
      <c r="D10" s="149"/>
      <c r="E10" s="149"/>
      <c r="F10" s="149"/>
      <c r="G10" s="149"/>
      <c r="H10" s="149"/>
      <c r="I10" s="149"/>
      <c r="J10" s="149"/>
      <c r="K10" s="150"/>
    </row>
    <row r="11" spans="1:11" x14ac:dyDescent="0.3">
      <c r="B11" s="130" t="s">
        <v>48</v>
      </c>
      <c r="C11" s="25" t="s">
        <v>33</v>
      </c>
      <c r="D11" s="25" t="s">
        <v>34</v>
      </c>
      <c r="E11" s="25" t="s">
        <v>35</v>
      </c>
      <c r="F11" s="25" t="s">
        <v>123</v>
      </c>
      <c r="G11" s="25" t="s">
        <v>124</v>
      </c>
      <c r="H11" s="25" t="s">
        <v>36</v>
      </c>
      <c r="I11" s="25" t="s">
        <v>125</v>
      </c>
      <c r="J11" s="25" t="s">
        <v>126</v>
      </c>
      <c r="K11" s="26" t="s">
        <v>47</v>
      </c>
    </row>
    <row r="12" spans="1:11" x14ac:dyDescent="0.3">
      <c r="B12" s="146" t="s">
        <v>128</v>
      </c>
      <c r="C12" s="15">
        <v>78000</v>
      </c>
      <c r="D12" s="5">
        <v>104000</v>
      </c>
      <c r="E12" s="5">
        <v>140400</v>
      </c>
      <c r="F12" s="5">
        <v>72800</v>
      </c>
      <c r="G12" s="5">
        <v>93600</v>
      </c>
      <c r="H12" s="5">
        <v>52000</v>
      </c>
      <c r="I12" s="5">
        <v>26000</v>
      </c>
      <c r="J12" s="5">
        <v>62400</v>
      </c>
      <c r="K12" s="20">
        <v>629200</v>
      </c>
    </row>
    <row r="13" spans="1:11" x14ac:dyDescent="0.3">
      <c r="B13" s="146" t="s">
        <v>129</v>
      </c>
      <c r="C13" s="15">
        <v>62400</v>
      </c>
      <c r="D13" s="5">
        <v>78000</v>
      </c>
      <c r="E13" s="5">
        <v>150800</v>
      </c>
      <c r="F13" s="5">
        <v>83200</v>
      </c>
      <c r="G13" s="5">
        <v>109200</v>
      </c>
      <c r="H13" s="5">
        <v>78000</v>
      </c>
      <c r="I13" s="5">
        <v>52000</v>
      </c>
      <c r="J13" s="5">
        <v>78000</v>
      </c>
      <c r="K13" s="20">
        <v>691600</v>
      </c>
    </row>
    <row r="14" spans="1:11" x14ac:dyDescent="0.3">
      <c r="B14" s="146" t="s">
        <v>130</v>
      </c>
      <c r="C14" s="15">
        <v>46800</v>
      </c>
      <c r="D14" s="5">
        <v>52000</v>
      </c>
      <c r="E14" s="5">
        <v>161200</v>
      </c>
      <c r="F14" s="5">
        <v>93600</v>
      </c>
      <c r="G14" s="5">
        <v>124800</v>
      </c>
      <c r="H14" s="5">
        <v>104000</v>
      </c>
      <c r="I14" s="5">
        <v>78000</v>
      </c>
      <c r="J14" s="5">
        <v>93600</v>
      </c>
      <c r="K14" s="20">
        <v>754000</v>
      </c>
    </row>
    <row r="15" spans="1:11" x14ac:dyDescent="0.3">
      <c r="B15" s="147" t="s">
        <v>131</v>
      </c>
      <c r="C15" s="16">
        <v>26000</v>
      </c>
      <c r="D15" s="7">
        <v>26000</v>
      </c>
      <c r="E15" s="7">
        <v>171600</v>
      </c>
      <c r="F15" s="7">
        <v>104000</v>
      </c>
      <c r="G15" s="7">
        <v>140400</v>
      </c>
      <c r="H15" s="7">
        <v>156000</v>
      </c>
      <c r="I15" s="7">
        <v>104000</v>
      </c>
      <c r="J15" s="7">
        <v>114400</v>
      </c>
      <c r="K15" s="21">
        <v>842400</v>
      </c>
    </row>
    <row r="16" spans="1:11" x14ac:dyDescent="0.3">
      <c r="B16" s="1"/>
      <c r="C16" s="1"/>
      <c r="D16" s="1"/>
      <c r="E16" s="1"/>
      <c r="F16" s="1"/>
      <c r="G16" s="1"/>
      <c r="H16" s="1"/>
      <c r="I16" s="1"/>
      <c r="J16" s="1"/>
    </row>
    <row r="17" spans="2:27" x14ac:dyDescent="0.3">
      <c r="B17" s="1"/>
      <c r="C17" s="1"/>
      <c r="D17" s="1"/>
      <c r="E17" s="1"/>
      <c r="F17" s="1"/>
      <c r="G17" s="1"/>
      <c r="H17" s="1"/>
      <c r="I17" s="1"/>
      <c r="J17" s="1"/>
    </row>
    <row r="18" spans="2:27" x14ac:dyDescent="0.3">
      <c r="B18" s="148" t="s">
        <v>133</v>
      </c>
      <c r="C18" s="149"/>
      <c r="D18" s="149"/>
      <c r="E18" s="149"/>
      <c r="F18" s="149"/>
      <c r="G18" s="149"/>
      <c r="H18" s="149"/>
      <c r="I18" s="149"/>
      <c r="J18" s="149"/>
      <c r="K18" s="150"/>
    </row>
    <row r="19" spans="2:27" x14ac:dyDescent="0.3">
      <c r="B19" s="130" t="s">
        <v>48</v>
      </c>
      <c r="C19" s="24" t="s">
        <v>33</v>
      </c>
      <c r="D19" s="25" t="s">
        <v>34</v>
      </c>
      <c r="E19" s="25" t="s">
        <v>35</v>
      </c>
      <c r="F19" s="25" t="s">
        <v>123</v>
      </c>
      <c r="G19" s="25" t="s">
        <v>124</v>
      </c>
      <c r="H19" s="25" t="s">
        <v>36</v>
      </c>
      <c r="I19" s="25" t="s">
        <v>125</v>
      </c>
      <c r="J19" s="25" t="s">
        <v>126</v>
      </c>
      <c r="K19" s="26" t="s">
        <v>49</v>
      </c>
    </row>
    <row r="20" spans="2:27" x14ac:dyDescent="0.3">
      <c r="B20" s="146" t="s">
        <v>128</v>
      </c>
      <c r="C20" s="138">
        <v>1442.2205101855957</v>
      </c>
      <c r="D20" s="141">
        <v>1442.2205101855957</v>
      </c>
      <c r="E20" s="141">
        <v>2884.4410203711914</v>
      </c>
      <c r="F20" s="141">
        <v>1802.7756377319947</v>
      </c>
      <c r="G20" s="141">
        <v>1081.6653826391969</v>
      </c>
      <c r="H20" s="141">
        <v>1442.2205101855957</v>
      </c>
      <c r="I20" s="141">
        <v>721.11025509279784</v>
      </c>
      <c r="J20" s="141">
        <v>540.83269131959844</v>
      </c>
      <c r="K20" s="27">
        <v>4448.8762626083453</v>
      </c>
      <c r="W20">
        <f>'+1 Year Product Demand'!C23*'+1 Year Product Demand'!C23</f>
        <v>520000</v>
      </c>
      <c r="X20">
        <f>'+1 Year Product Demand'!D23*'+1 Year Product Demand'!D23</f>
        <v>2080000</v>
      </c>
      <c r="Y20">
        <f>'+1 Year Product Demand'!E23*'+1 Year Product Demand'!E23</f>
        <v>4680000.0000000009</v>
      </c>
      <c r="Z20">
        <f>'+1 Year Product Demand'!F23*'+1 Year Product Demand'!F23</f>
        <v>2080000</v>
      </c>
      <c r="AA20">
        <f>'+1 Year Product Demand'!G23*'+1 Year Product Demand'!G23</f>
        <v>520000</v>
      </c>
    </row>
    <row r="21" spans="2:27" x14ac:dyDescent="0.3">
      <c r="B21" s="146" t="s">
        <v>129</v>
      </c>
      <c r="C21" s="138">
        <v>721.11025509279784</v>
      </c>
      <c r="D21" s="141">
        <v>1081.6653826391969</v>
      </c>
      <c r="E21" s="141">
        <v>3605.5512754639894</v>
      </c>
      <c r="F21" s="141">
        <v>2163.3307652783938</v>
      </c>
      <c r="G21" s="141">
        <v>1442.2205101855957</v>
      </c>
      <c r="H21" s="141">
        <v>2163.3307652783938</v>
      </c>
      <c r="I21" s="141">
        <v>1297.9984591670361</v>
      </c>
      <c r="J21" s="141">
        <v>793.22128060207763</v>
      </c>
      <c r="K21" s="27">
        <v>5333.2916665039056</v>
      </c>
      <c r="V21">
        <v>52</v>
      </c>
      <c r="W21">
        <f>W20*$V$21</f>
        <v>27040000</v>
      </c>
      <c r="X21">
        <f>X20*$V$21</f>
        <v>108160000</v>
      </c>
      <c r="Y21">
        <f>Y20*$V$21</f>
        <v>243360000.00000006</v>
      </c>
      <c r="Z21">
        <f>Z20*$V$21</f>
        <v>108160000</v>
      </c>
      <c r="AA21">
        <f>AA20*$V$21</f>
        <v>27040000</v>
      </c>
    </row>
    <row r="22" spans="2:27" x14ac:dyDescent="0.3">
      <c r="B22" s="146" t="s">
        <v>130</v>
      </c>
      <c r="C22" s="138">
        <v>721.11025509279784</v>
      </c>
      <c r="D22" s="141">
        <v>1081.6653826391969</v>
      </c>
      <c r="E22" s="141">
        <v>4326.6615305567875</v>
      </c>
      <c r="F22" s="141">
        <v>2884.4410203711914</v>
      </c>
      <c r="G22" s="141">
        <v>1802.7756377319947</v>
      </c>
      <c r="H22" s="141">
        <v>2884.4410203711914</v>
      </c>
      <c r="I22" s="141">
        <v>1442.2205101855957</v>
      </c>
      <c r="J22" s="141">
        <v>901.38781886599736</v>
      </c>
      <c r="K22" s="27">
        <v>6572.1001209658998</v>
      </c>
      <c r="W22" s="129">
        <f>SQRT(W21)</f>
        <v>5200</v>
      </c>
      <c r="X22" s="129">
        <f>SQRT(X21)</f>
        <v>10400</v>
      </c>
      <c r="Y22" s="129">
        <f>SQRT(Y21)</f>
        <v>15600.000000000002</v>
      </c>
      <c r="Z22" s="129">
        <f>SQRT(Z21)</f>
        <v>10400</v>
      </c>
      <c r="AA22" s="129">
        <f>SQRT(AA21)</f>
        <v>5200</v>
      </c>
    </row>
    <row r="23" spans="2:27" x14ac:dyDescent="0.3">
      <c r="B23" s="147" t="s">
        <v>131</v>
      </c>
      <c r="C23" s="139">
        <v>721.11025509279784</v>
      </c>
      <c r="D23" s="140">
        <v>721.11025509279784</v>
      </c>
      <c r="E23" s="140">
        <v>5047.7717856495847</v>
      </c>
      <c r="F23" s="140">
        <v>3605.5512754639894</v>
      </c>
      <c r="G23" s="140">
        <v>2163.3307652783938</v>
      </c>
      <c r="H23" s="140">
        <v>3605.5512754639894</v>
      </c>
      <c r="I23" s="140">
        <v>1586.4425612041553</v>
      </c>
      <c r="J23" s="140">
        <v>1081.6653826391969</v>
      </c>
      <c r="K23" s="28">
        <v>7802.9994232987101</v>
      </c>
    </row>
    <row r="24" spans="2:27" x14ac:dyDescent="0.3">
      <c r="B24" s="1"/>
      <c r="C24" s="1"/>
      <c r="D24" s="1"/>
      <c r="E24" s="1"/>
      <c r="F24" s="1"/>
      <c r="G24" s="1"/>
      <c r="H24" s="1"/>
      <c r="I24" s="1"/>
      <c r="J24" s="1"/>
    </row>
    <row r="25" spans="2:27" x14ac:dyDescent="0.3">
      <c r="B25" s="1"/>
      <c r="C25" s="1"/>
      <c r="D25" s="1"/>
      <c r="E25" s="1"/>
      <c r="F25" s="1"/>
      <c r="G25" s="1"/>
      <c r="H25" s="1"/>
      <c r="I25" s="1"/>
      <c r="J25" s="1"/>
    </row>
    <row r="26" spans="2:27" x14ac:dyDescent="0.3">
      <c r="B26" s="148" t="s">
        <v>134</v>
      </c>
      <c r="C26" s="149"/>
      <c r="D26" s="149"/>
      <c r="E26" s="149"/>
      <c r="F26" s="149"/>
      <c r="G26" s="149"/>
      <c r="H26" s="149"/>
      <c r="I26" s="149"/>
      <c r="J26" s="149"/>
      <c r="K26" s="150"/>
    </row>
    <row r="27" spans="2:27" x14ac:dyDescent="0.3">
      <c r="B27" s="130" t="s">
        <v>48</v>
      </c>
      <c r="C27" s="24" t="s">
        <v>33</v>
      </c>
      <c r="D27" s="25" t="s">
        <v>34</v>
      </c>
      <c r="E27" s="25" t="s">
        <v>35</v>
      </c>
      <c r="F27" s="25" t="s">
        <v>123</v>
      </c>
      <c r="G27" s="25" t="s">
        <v>124</v>
      </c>
      <c r="H27" s="25" t="s">
        <v>36</v>
      </c>
      <c r="I27" s="25" t="s">
        <v>125</v>
      </c>
      <c r="J27" s="25" t="s">
        <v>126</v>
      </c>
      <c r="K27" s="26" t="s">
        <v>47</v>
      </c>
    </row>
    <row r="28" spans="2:27" x14ac:dyDescent="0.3">
      <c r="B28" s="146" t="s">
        <v>128</v>
      </c>
      <c r="C28" s="15">
        <v>1500</v>
      </c>
      <c r="D28" s="5">
        <v>2000</v>
      </c>
      <c r="E28" s="5">
        <v>2700</v>
      </c>
      <c r="F28" s="5">
        <v>1400</v>
      </c>
      <c r="G28" s="5">
        <v>1800</v>
      </c>
      <c r="H28" s="5">
        <v>1000</v>
      </c>
      <c r="I28" s="5">
        <v>500</v>
      </c>
      <c r="J28" s="5">
        <v>1200</v>
      </c>
      <c r="K28" s="6">
        <v>12100</v>
      </c>
    </row>
    <row r="29" spans="2:27" x14ac:dyDescent="0.3">
      <c r="B29" s="146" t="s">
        <v>129</v>
      </c>
      <c r="C29" s="15">
        <v>1200</v>
      </c>
      <c r="D29" s="5">
        <v>1500</v>
      </c>
      <c r="E29" s="5">
        <v>2900</v>
      </c>
      <c r="F29" s="5">
        <v>1600</v>
      </c>
      <c r="G29" s="5">
        <v>2100</v>
      </c>
      <c r="H29" s="5">
        <v>1500</v>
      </c>
      <c r="I29" s="5">
        <v>1000</v>
      </c>
      <c r="J29" s="5">
        <v>1500</v>
      </c>
      <c r="K29" s="6">
        <v>13300</v>
      </c>
    </row>
    <row r="30" spans="2:27" x14ac:dyDescent="0.3">
      <c r="B30" s="146" t="s">
        <v>130</v>
      </c>
      <c r="C30" s="15">
        <v>900</v>
      </c>
      <c r="D30" s="5">
        <v>1000</v>
      </c>
      <c r="E30" s="5">
        <v>3100</v>
      </c>
      <c r="F30" s="5">
        <v>1800</v>
      </c>
      <c r="G30" s="5">
        <v>2400</v>
      </c>
      <c r="H30" s="5">
        <v>2000</v>
      </c>
      <c r="I30" s="5">
        <v>1500</v>
      </c>
      <c r="J30" s="5">
        <v>1800</v>
      </c>
      <c r="K30" s="6">
        <v>14500</v>
      </c>
    </row>
    <row r="31" spans="2:27" x14ac:dyDescent="0.3">
      <c r="B31" s="147" t="s">
        <v>131</v>
      </c>
      <c r="C31" s="16">
        <v>500</v>
      </c>
      <c r="D31" s="7">
        <v>500</v>
      </c>
      <c r="E31" s="7">
        <v>3300</v>
      </c>
      <c r="F31" s="7">
        <v>2000</v>
      </c>
      <c r="G31" s="7">
        <v>2700</v>
      </c>
      <c r="H31" s="7">
        <v>3000</v>
      </c>
      <c r="I31" s="7">
        <v>2000</v>
      </c>
      <c r="J31" s="7">
        <v>2200</v>
      </c>
      <c r="K31" s="8">
        <v>16200</v>
      </c>
    </row>
    <row r="34" spans="2:11" x14ac:dyDescent="0.3">
      <c r="B34" s="148" t="s">
        <v>135</v>
      </c>
      <c r="C34" s="149"/>
      <c r="D34" s="149"/>
      <c r="E34" s="149"/>
      <c r="F34" s="149"/>
      <c r="G34" s="149"/>
      <c r="H34" s="149"/>
      <c r="I34" s="149"/>
      <c r="J34" s="149"/>
      <c r="K34" s="150"/>
    </row>
    <row r="35" spans="2:11" x14ac:dyDescent="0.3">
      <c r="B35" s="130" t="s">
        <v>48</v>
      </c>
      <c r="C35" s="24" t="s">
        <v>33</v>
      </c>
      <c r="D35" s="25" t="s">
        <v>34</v>
      </c>
      <c r="E35" s="25" t="s">
        <v>35</v>
      </c>
      <c r="F35" s="25" t="s">
        <v>123</v>
      </c>
      <c r="G35" s="25" t="s">
        <v>124</v>
      </c>
      <c r="H35" s="25" t="s">
        <v>36</v>
      </c>
      <c r="I35" s="25" t="s">
        <v>125</v>
      </c>
      <c r="J35" s="25" t="s">
        <v>126</v>
      </c>
      <c r="K35" s="26" t="s">
        <v>50</v>
      </c>
    </row>
    <row r="36" spans="2:11" x14ac:dyDescent="0.3">
      <c r="B36" s="146" t="s">
        <v>128</v>
      </c>
      <c r="C36" s="31">
        <v>0.15</v>
      </c>
      <c r="D36" s="29">
        <v>0.2</v>
      </c>
      <c r="E36" s="29">
        <v>0.2</v>
      </c>
      <c r="F36" s="29">
        <v>0.12</v>
      </c>
      <c r="G36" s="29">
        <v>0.18</v>
      </c>
      <c r="H36" s="29">
        <v>0.25</v>
      </c>
      <c r="I36" s="5"/>
      <c r="J36" s="29">
        <v>0.08</v>
      </c>
      <c r="K36" s="30">
        <f>AVERAGE(C36:J36)</f>
        <v>0.16857142857142859</v>
      </c>
    </row>
    <row r="37" spans="2:11" x14ac:dyDescent="0.3">
      <c r="B37" s="146" t="s">
        <v>129</v>
      </c>
      <c r="C37" s="31">
        <v>0.15</v>
      </c>
      <c r="D37" s="29">
        <v>0.2</v>
      </c>
      <c r="E37" s="29">
        <v>0.2</v>
      </c>
      <c r="F37" s="29">
        <v>0.12</v>
      </c>
      <c r="G37" s="29">
        <v>0.18</v>
      </c>
      <c r="H37" s="29">
        <v>0.25</v>
      </c>
      <c r="I37" s="29">
        <v>0.15</v>
      </c>
      <c r="J37" s="29">
        <v>0.08</v>
      </c>
      <c r="K37" s="30">
        <f t="shared" ref="K37:K40" si="0">AVERAGE(C37:J37)</f>
        <v>0.16625000000000001</v>
      </c>
    </row>
    <row r="38" spans="2:11" x14ac:dyDescent="0.3">
      <c r="B38" s="146" t="s">
        <v>130</v>
      </c>
      <c r="C38" s="31">
        <v>0.15</v>
      </c>
      <c r="D38" s="29">
        <v>0.2</v>
      </c>
      <c r="E38" s="29">
        <v>0.2</v>
      </c>
      <c r="F38" s="29">
        <v>0.12</v>
      </c>
      <c r="G38" s="29">
        <v>0.18</v>
      </c>
      <c r="H38" s="29">
        <v>0.25</v>
      </c>
      <c r="I38" s="29">
        <v>0.15</v>
      </c>
      <c r="J38" s="29">
        <v>0.08</v>
      </c>
      <c r="K38" s="30">
        <f t="shared" si="0"/>
        <v>0.16625000000000001</v>
      </c>
    </row>
    <row r="39" spans="2:11" x14ac:dyDescent="0.3">
      <c r="B39" s="147" t="s">
        <v>131</v>
      </c>
      <c r="C39" s="31">
        <v>0.15</v>
      </c>
      <c r="D39" s="29">
        <v>0.2</v>
      </c>
      <c r="E39" s="29">
        <v>0.2</v>
      </c>
      <c r="F39" s="29">
        <v>0.12</v>
      </c>
      <c r="G39" s="29">
        <v>0.18</v>
      </c>
      <c r="H39" s="29">
        <v>0.25</v>
      </c>
      <c r="I39" s="29">
        <v>0.15</v>
      </c>
      <c r="J39" s="29">
        <v>0.08</v>
      </c>
      <c r="K39" s="30">
        <f t="shared" si="0"/>
        <v>0.16625000000000001</v>
      </c>
    </row>
    <row r="40" spans="2:11" x14ac:dyDescent="0.3">
      <c r="B40" s="147">
        <v>2029</v>
      </c>
      <c r="C40" s="32">
        <v>0.15</v>
      </c>
      <c r="D40" s="33">
        <v>0.2</v>
      </c>
      <c r="E40" s="33">
        <v>0.2</v>
      </c>
      <c r="F40" s="33">
        <v>0.12</v>
      </c>
      <c r="G40" s="33">
        <v>0.18</v>
      </c>
      <c r="H40" s="33">
        <v>0.25</v>
      </c>
      <c r="I40" s="33">
        <v>0.15</v>
      </c>
      <c r="J40" s="33">
        <v>0.08</v>
      </c>
      <c r="K40" s="34">
        <f t="shared" si="0"/>
        <v>0.16625000000000001</v>
      </c>
    </row>
    <row r="58" spans="15:21" x14ac:dyDescent="0.3">
      <c r="O58" s="148" t="s">
        <v>119</v>
      </c>
      <c r="P58" s="149"/>
      <c r="Q58" s="149"/>
      <c r="R58" s="149"/>
      <c r="S58" s="149"/>
      <c r="T58" s="149"/>
      <c r="U58" s="150"/>
    </row>
    <row r="59" spans="15:21" x14ac:dyDescent="0.3">
      <c r="O59" s="22" t="s">
        <v>48</v>
      </c>
      <c r="P59" s="18" t="s">
        <v>33</v>
      </c>
      <c r="Q59" s="18" t="s">
        <v>34</v>
      </c>
      <c r="R59" s="18" t="s">
        <v>35</v>
      </c>
      <c r="S59" s="18" t="s">
        <v>36</v>
      </c>
      <c r="T59" s="18" t="s">
        <v>37</v>
      </c>
      <c r="U59" s="19" t="s">
        <v>47</v>
      </c>
    </row>
    <row r="60" spans="15:21" x14ac:dyDescent="0.3">
      <c r="O60" s="130">
        <v>2025</v>
      </c>
      <c r="P60" s="36">
        <v>50000</v>
      </c>
      <c r="Q60" s="37">
        <v>100000</v>
      </c>
      <c r="R60" s="37">
        <v>130000</v>
      </c>
      <c r="S60" s="37">
        <v>60000</v>
      </c>
      <c r="T60" s="37">
        <v>80000</v>
      </c>
      <c r="U60" s="131">
        <f>SUM(P60:T60)</f>
        <v>420000</v>
      </c>
    </row>
    <row r="61" spans="15:21" x14ac:dyDescent="0.3">
      <c r="O61" s="1"/>
      <c r="P61" s="1"/>
      <c r="Q61" s="1"/>
      <c r="R61" s="1"/>
      <c r="S61" s="1"/>
      <c r="T61" s="1"/>
    </row>
    <row r="62" spans="15:21" x14ac:dyDescent="0.3">
      <c r="O62" s="1"/>
      <c r="P62" s="1"/>
      <c r="Q62" s="1"/>
      <c r="R62" s="1"/>
      <c r="S62" s="1"/>
      <c r="T62" s="1"/>
    </row>
    <row r="63" spans="15:21" x14ac:dyDescent="0.3">
      <c r="O63" s="148" t="s">
        <v>118</v>
      </c>
      <c r="P63" s="149"/>
      <c r="Q63" s="149"/>
      <c r="R63" s="149"/>
      <c r="S63" s="149"/>
      <c r="T63" s="149"/>
      <c r="U63" s="150"/>
    </row>
    <row r="64" spans="15:21" x14ac:dyDescent="0.3">
      <c r="O64" s="22" t="s">
        <v>48</v>
      </c>
      <c r="P64" s="24" t="s">
        <v>33</v>
      </c>
      <c r="Q64" s="25" t="s">
        <v>34</v>
      </c>
      <c r="R64" s="25" t="s">
        <v>35</v>
      </c>
      <c r="S64" s="25" t="s">
        <v>36</v>
      </c>
      <c r="T64" s="25" t="s">
        <v>37</v>
      </c>
      <c r="U64" s="26" t="s">
        <v>49</v>
      </c>
    </row>
    <row r="65" spans="15:21" x14ac:dyDescent="0.3">
      <c r="O65" s="130">
        <v>2025</v>
      </c>
      <c r="P65" s="36">
        <v>100</v>
      </c>
      <c r="Q65" s="37">
        <v>200</v>
      </c>
      <c r="R65" s="37">
        <v>300</v>
      </c>
      <c r="S65" s="37">
        <v>200</v>
      </c>
      <c r="T65" s="37">
        <v>100</v>
      </c>
      <c r="U65" s="131">
        <v>447</v>
      </c>
    </row>
    <row r="68" spans="15:21" x14ac:dyDescent="0.3">
      <c r="O68" s="148"/>
      <c r="P68" s="149"/>
      <c r="Q68" s="149"/>
      <c r="R68" s="149"/>
      <c r="S68" s="149"/>
      <c r="T68" s="149"/>
      <c r="U68" s="150"/>
    </row>
    <row r="69" spans="15:21" x14ac:dyDescent="0.3">
      <c r="O69" s="22" t="s">
        <v>48</v>
      </c>
      <c r="P69" s="18" t="s">
        <v>33</v>
      </c>
      <c r="Q69" s="18" t="s">
        <v>34</v>
      </c>
      <c r="R69" s="18" t="s">
        <v>35</v>
      </c>
      <c r="S69" s="18" t="s">
        <v>36</v>
      </c>
      <c r="T69" s="18" t="s">
        <v>37</v>
      </c>
      <c r="U69" s="19" t="s">
        <v>47</v>
      </c>
    </row>
    <row r="70" spans="15:21" x14ac:dyDescent="0.3">
      <c r="O70" s="24">
        <v>2025</v>
      </c>
      <c r="P70" s="132">
        <f>P60/52</f>
        <v>961.53846153846155</v>
      </c>
      <c r="Q70" s="136">
        <f t="shared" ref="Q70:T70" si="1">Q60/52</f>
        <v>1923.0769230769231</v>
      </c>
      <c r="R70" s="136">
        <f t="shared" si="1"/>
        <v>2500</v>
      </c>
      <c r="S70" s="136">
        <f t="shared" si="1"/>
        <v>1153.8461538461538</v>
      </c>
      <c r="T70" s="136">
        <f t="shared" si="1"/>
        <v>1538.4615384615386</v>
      </c>
      <c r="U70" s="133">
        <f>SUM(P70:T70)</f>
        <v>8076.923076923078</v>
      </c>
    </row>
    <row r="71" spans="15:21" x14ac:dyDescent="0.3">
      <c r="O71" s="1"/>
      <c r="P71" s="1"/>
      <c r="Q71" s="1"/>
      <c r="R71" s="1"/>
      <c r="S71" s="1"/>
      <c r="T71" s="1"/>
    </row>
    <row r="72" spans="15:21" x14ac:dyDescent="0.3">
      <c r="O72" s="148" t="s">
        <v>120</v>
      </c>
      <c r="P72" s="149"/>
      <c r="Q72" s="149"/>
      <c r="R72" s="149"/>
      <c r="S72" s="149"/>
      <c r="T72" s="149"/>
      <c r="U72" s="150"/>
    </row>
    <row r="73" spans="15:21" x14ac:dyDescent="0.3">
      <c r="O73" s="22" t="s">
        <v>48</v>
      </c>
      <c r="P73" s="17" t="s">
        <v>33</v>
      </c>
      <c r="Q73" s="18" t="s">
        <v>34</v>
      </c>
      <c r="R73" s="18" t="s">
        <v>35</v>
      </c>
      <c r="S73" s="18" t="s">
        <v>36</v>
      </c>
      <c r="T73" s="18" t="s">
        <v>37</v>
      </c>
      <c r="U73" s="19" t="s">
        <v>50</v>
      </c>
    </row>
    <row r="74" spans="15:21" x14ac:dyDescent="0.3">
      <c r="O74" s="130">
        <v>2025</v>
      </c>
      <c r="P74" s="134">
        <v>0.15</v>
      </c>
      <c r="Q74" s="135">
        <v>0.2</v>
      </c>
      <c r="R74" s="135">
        <v>0.2</v>
      </c>
      <c r="S74" s="135">
        <v>0.12</v>
      </c>
      <c r="T74" s="135">
        <v>0.18</v>
      </c>
      <c r="U74" s="137">
        <f>AVERAGE(P74:T74)</f>
        <v>0.17</v>
      </c>
    </row>
  </sheetData>
  <mergeCells count="8">
    <mergeCell ref="O72:U72"/>
    <mergeCell ref="B34:K34"/>
    <mergeCell ref="B10:K10"/>
    <mergeCell ref="B18:K18"/>
    <mergeCell ref="B26:K26"/>
    <mergeCell ref="O58:U58"/>
    <mergeCell ref="O63:U63"/>
    <mergeCell ref="O68:U68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855C5-4FE8-D141-8188-91EE04E8EAFB}">
  <dimension ref="A1:J31"/>
  <sheetViews>
    <sheetView zoomScale="70" zoomScaleNormal="70" workbookViewId="0">
      <selection activeCell="F39" sqref="F39"/>
    </sheetView>
  </sheetViews>
  <sheetFormatPr defaultColWidth="11.5546875" defaultRowHeight="17.25" x14ac:dyDescent="0.3"/>
  <sheetData>
    <row r="1" spans="1:10" x14ac:dyDescent="0.3">
      <c r="A1" s="126" t="s">
        <v>139</v>
      </c>
    </row>
    <row r="2" spans="1:10" x14ac:dyDescent="0.3">
      <c r="A2" s="126" t="s">
        <v>117</v>
      </c>
    </row>
    <row r="3" spans="1:10" x14ac:dyDescent="0.3">
      <c r="A3" s="126" t="s">
        <v>147</v>
      </c>
    </row>
    <row r="4" spans="1:10" x14ac:dyDescent="0.3">
      <c r="A4" s="125" t="s">
        <v>136</v>
      </c>
    </row>
    <row r="5" spans="1:10" x14ac:dyDescent="0.3">
      <c r="A5" s="126"/>
    </row>
    <row r="10" spans="1:10" x14ac:dyDescent="0.3">
      <c r="B10" s="2" t="s">
        <v>46</v>
      </c>
      <c r="C10" s="151" t="s">
        <v>137</v>
      </c>
      <c r="D10" s="152"/>
      <c r="E10" s="152"/>
      <c r="F10" s="152"/>
      <c r="G10" s="152"/>
      <c r="H10" s="152"/>
      <c r="I10" s="152"/>
      <c r="J10" s="153"/>
    </row>
    <row r="11" spans="1:10" x14ac:dyDescent="0.3">
      <c r="B11" s="3"/>
      <c r="C11" s="142" t="s">
        <v>33</v>
      </c>
      <c r="D11" s="143" t="s">
        <v>34</v>
      </c>
      <c r="E11" s="143" t="s">
        <v>35</v>
      </c>
      <c r="F11" s="143" t="s">
        <v>123</v>
      </c>
      <c r="G11" s="143" t="s">
        <v>124</v>
      </c>
      <c r="H11" s="143" t="s">
        <v>36</v>
      </c>
      <c r="I11" s="143" t="s">
        <v>125</v>
      </c>
      <c r="J11" s="144" t="s">
        <v>126</v>
      </c>
    </row>
    <row r="12" spans="1:10" x14ac:dyDescent="0.3">
      <c r="B12" s="3" t="s">
        <v>0</v>
      </c>
      <c r="C12" s="12">
        <v>1</v>
      </c>
      <c r="D12" s="13">
        <v>2</v>
      </c>
      <c r="E12" s="13">
        <v>4</v>
      </c>
      <c r="F12" s="13">
        <v>4</v>
      </c>
      <c r="G12" s="13">
        <v>1</v>
      </c>
      <c r="H12" s="13"/>
      <c r="I12" s="13"/>
      <c r="J12" s="14">
        <v>2</v>
      </c>
    </row>
    <row r="13" spans="1:10" x14ac:dyDescent="0.3">
      <c r="B13" s="3" t="s">
        <v>1</v>
      </c>
      <c r="C13" s="15">
        <v>4</v>
      </c>
      <c r="D13" s="5"/>
      <c r="E13" s="5">
        <v>2</v>
      </c>
      <c r="F13" s="5">
        <v>2</v>
      </c>
      <c r="G13" s="5"/>
      <c r="H13" s="5"/>
      <c r="I13" s="5"/>
      <c r="J13" s="6">
        <v>1</v>
      </c>
    </row>
    <row r="14" spans="1:10" x14ac:dyDescent="0.3">
      <c r="B14" s="3" t="s">
        <v>2</v>
      </c>
      <c r="C14" s="15"/>
      <c r="D14" s="5"/>
      <c r="E14" s="5"/>
      <c r="F14" s="5">
        <v>4</v>
      </c>
      <c r="G14" s="5">
        <v>1</v>
      </c>
      <c r="H14" s="5">
        <v>2</v>
      </c>
      <c r="I14" s="5">
        <v>4</v>
      </c>
      <c r="J14" s="6">
        <v>1</v>
      </c>
    </row>
    <row r="15" spans="1:10" x14ac:dyDescent="0.3">
      <c r="B15" s="3" t="s">
        <v>3</v>
      </c>
      <c r="C15" s="15"/>
      <c r="D15" s="5">
        <v>1</v>
      </c>
      <c r="E15" s="5">
        <v>2</v>
      </c>
      <c r="F15" s="5">
        <v>2</v>
      </c>
      <c r="G15" s="5"/>
      <c r="H15" s="5"/>
      <c r="I15" s="5"/>
      <c r="J15" s="6"/>
    </row>
    <row r="16" spans="1:10" x14ac:dyDescent="0.3">
      <c r="B16" s="3" t="s">
        <v>4</v>
      </c>
      <c r="C16" s="15"/>
      <c r="D16" s="5">
        <v>1</v>
      </c>
      <c r="E16" s="5">
        <v>2</v>
      </c>
      <c r="F16" s="5"/>
      <c r="G16" s="5"/>
      <c r="H16" s="5">
        <v>1</v>
      </c>
      <c r="I16" s="5">
        <v>1</v>
      </c>
      <c r="J16" s="6"/>
    </row>
    <row r="17" spans="2:10" x14ac:dyDescent="0.3">
      <c r="B17" s="3" t="s">
        <v>5</v>
      </c>
      <c r="C17" s="15">
        <v>1</v>
      </c>
      <c r="D17" s="5"/>
      <c r="E17" s="5"/>
      <c r="F17" s="5"/>
      <c r="G17" s="5">
        <v>2</v>
      </c>
      <c r="H17" s="5"/>
      <c r="I17" s="5"/>
      <c r="J17" s="6">
        <v>3</v>
      </c>
    </row>
    <row r="18" spans="2:10" x14ac:dyDescent="0.3">
      <c r="B18" s="3" t="s">
        <v>6</v>
      </c>
      <c r="C18" s="15"/>
      <c r="D18" s="5">
        <v>4</v>
      </c>
      <c r="E18" s="5"/>
      <c r="F18" s="5"/>
      <c r="G18" s="5">
        <v>4</v>
      </c>
      <c r="H18" s="5"/>
      <c r="I18" s="5">
        <v>1</v>
      </c>
      <c r="J18" s="6">
        <v>1</v>
      </c>
    </row>
    <row r="19" spans="2:10" x14ac:dyDescent="0.3">
      <c r="B19" s="3" t="s">
        <v>7</v>
      </c>
      <c r="C19" s="15"/>
      <c r="D19" s="5"/>
      <c r="E19" s="5"/>
      <c r="F19" s="5">
        <v>4</v>
      </c>
      <c r="G19" s="5"/>
      <c r="H19" s="5">
        <v>2</v>
      </c>
      <c r="I19" s="5">
        <v>2</v>
      </c>
      <c r="J19" s="6">
        <v>3</v>
      </c>
    </row>
    <row r="20" spans="2:10" x14ac:dyDescent="0.3">
      <c r="B20" s="3" t="s">
        <v>8</v>
      </c>
      <c r="C20" s="15"/>
      <c r="D20" s="5">
        <v>2</v>
      </c>
      <c r="E20" s="5">
        <v>2</v>
      </c>
      <c r="F20" s="5"/>
      <c r="G20" s="5"/>
      <c r="H20" s="5">
        <v>1</v>
      </c>
      <c r="I20" s="5">
        <v>2</v>
      </c>
      <c r="J20" s="6"/>
    </row>
    <row r="21" spans="2:10" x14ac:dyDescent="0.3">
      <c r="B21" s="3" t="s">
        <v>9</v>
      </c>
      <c r="C21" s="15">
        <v>1</v>
      </c>
      <c r="D21" s="5"/>
      <c r="E21" s="5">
        <v>1</v>
      </c>
      <c r="F21" s="5">
        <v>1</v>
      </c>
      <c r="G21" s="5"/>
      <c r="H21" s="5"/>
      <c r="I21" s="5"/>
      <c r="J21" s="6">
        <v>1</v>
      </c>
    </row>
    <row r="22" spans="2:10" x14ac:dyDescent="0.3">
      <c r="B22" s="3" t="s">
        <v>10</v>
      </c>
      <c r="C22" s="15">
        <v>2</v>
      </c>
      <c r="D22" s="5"/>
      <c r="E22" s="5"/>
      <c r="F22" s="5"/>
      <c r="G22" s="5">
        <v>4</v>
      </c>
      <c r="H22" s="5">
        <v>4</v>
      </c>
      <c r="I22" s="5">
        <v>2</v>
      </c>
      <c r="J22" s="6"/>
    </row>
    <row r="23" spans="2:10" x14ac:dyDescent="0.3">
      <c r="B23" s="3" t="s">
        <v>11</v>
      </c>
      <c r="C23" s="15">
        <v>4</v>
      </c>
      <c r="D23" s="5"/>
      <c r="E23" s="5"/>
      <c r="F23" s="5"/>
      <c r="G23" s="5">
        <v>4</v>
      </c>
      <c r="H23" s="5">
        <v>3</v>
      </c>
      <c r="I23" s="5">
        <v>4</v>
      </c>
      <c r="J23" s="6"/>
    </row>
    <row r="24" spans="2:10" x14ac:dyDescent="0.3">
      <c r="B24" s="3" t="s">
        <v>12</v>
      </c>
      <c r="C24" s="15">
        <v>2</v>
      </c>
      <c r="D24" s="5"/>
      <c r="E24" s="5"/>
      <c r="F24" s="5"/>
      <c r="G24" s="5">
        <v>2</v>
      </c>
      <c r="H24" s="5">
        <v>2</v>
      </c>
      <c r="I24" s="5">
        <v>1</v>
      </c>
      <c r="J24" s="6"/>
    </row>
    <row r="25" spans="2:10" x14ac:dyDescent="0.3">
      <c r="B25" s="3" t="s">
        <v>13</v>
      </c>
      <c r="C25" s="15"/>
      <c r="D25" s="5">
        <v>4</v>
      </c>
      <c r="E25" s="5">
        <v>2</v>
      </c>
      <c r="F25" s="5">
        <v>2</v>
      </c>
      <c r="G25" s="5">
        <v>2</v>
      </c>
      <c r="H25" s="5"/>
      <c r="I25" s="5"/>
      <c r="J25" s="6">
        <v>4</v>
      </c>
    </row>
    <row r="26" spans="2:10" x14ac:dyDescent="0.3">
      <c r="B26" s="3" t="s">
        <v>14</v>
      </c>
      <c r="C26" s="15"/>
      <c r="D26" s="5"/>
      <c r="E26" s="5"/>
      <c r="F26" s="5">
        <v>2</v>
      </c>
      <c r="G26" s="5"/>
      <c r="H26" s="5">
        <v>2</v>
      </c>
      <c r="I26" s="5"/>
      <c r="J26" s="6">
        <v>1</v>
      </c>
    </row>
    <row r="27" spans="2:10" x14ac:dyDescent="0.3">
      <c r="B27" s="3" t="s">
        <v>15</v>
      </c>
      <c r="C27" s="15"/>
      <c r="D27" s="5">
        <v>1</v>
      </c>
      <c r="E27" s="5">
        <v>4</v>
      </c>
      <c r="F27" s="5"/>
      <c r="G27" s="5"/>
      <c r="H27" s="5"/>
      <c r="I27" s="5"/>
      <c r="J27" s="6"/>
    </row>
    <row r="28" spans="2:10" x14ac:dyDescent="0.3">
      <c r="B28" s="3" t="s">
        <v>16</v>
      </c>
      <c r="C28" s="15">
        <v>2</v>
      </c>
      <c r="D28" s="5"/>
      <c r="E28" s="5"/>
      <c r="F28" s="5"/>
      <c r="G28" s="5">
        <v>2</v>
      </c>
      <c r="H28" s="5">
        <v>2</v>
      </c>
      <c r="I28" s="5">
        <v>2</v>
      </c>
      <c r="J28" s="6">
        <v>1</v>
      </c>
    </row>
    <row r="29" spans="2:10" x14ac:dyDescent="0.3">
      <c r="B29" s="3" t="s">
        <v>17</v>
      </c>
      <c r="C29" s="15">
        <v>4</v>
      </c>
      <c r="D29" s="5">
        <v>1</v>
      </c>
      <c r="E29" s="5"/>
      <c r="F29" s="5"/>
      <c r="G29" s="5">
        <v>4</v>
      </c>
      <c r="H29" s="5">
        <v>1</v>
      </c>
      <c r="I29" s="5">
        <v>3</v>
      </c>
      <c r="J29" s="6"/>
    </row>
    <row r="30" spans="2:10" x14ac:dyDescent="0.3">
      <c r="B30" s="3" t="s">
        <v>18</v>
      </c>
      <c r="C30" s="15"/>
      <c r="D30" s="5">
        <v>2</v>
      </c>
      <c r="E30" s="5">
        <v>4</v>
      </c>
      <c r="F30" s="5">
        <v>4</v>
      </c>
      <c r="G30" s="5">
        <v>1</v>
      </c>
      <c r="H30" s="5"/>
      <c r="I30" s="5"/>
      <c r="J30" s="6">
        <v>3</v>
      </c>
    </row>
    <row r="31" spans="2:10" x14ac:dyDescent="0.3">
      <c r="B31" s="4" t="s">
        <v>19</v>
      </c>
      <c r="C31" s="16"/>
      <c r="D31" s="7">
        <v>2</v>
      </c>
      <c r="E31" s="7">
        <v>3</v>
      </c>
      <c r="F31" s="7">
        <v>3</v>
      </c>
      <c r="G31" s="7"/>
      <c r="H31" s="7"/>
      <c r="I31" s="7"/>
      <c r="J31" s="8">
        <v>4</v>
      </c>
    </row>
  </sheetData>
  <mergeCells count="1">
    <mergeCell ref="C10:J10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+1 Year Product Demand</vt:lpstr>
      <vt:lpstr>+1 Year Parts per Product</vt:lpstr>
      <vt:lpstr>Parts Specs</vt:lpstr>
      <vt:lpstr>Equip+Operator Specs</vt:lpstr>
      <vt:lpstr>Basic Layouts</vt:lpstr>
      <vt:lpstr>+2 to +5 Year Product Demand </vt:lpstr>
      <vt:lpstr>+2 to +5 Year Parts per 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Montreuil Benoit</dc:creator>
  <cp:lastModifiedBy>김민재</cp:lastModifiedBy>
  <dcterms:created xsi:type="dcterms:W3CDTF">2017-09-16T15:51:59Z</dcterms:created>
  <dcterms:modified xsi:type="dcterms:W3CDTF">2025-11-14T22:18:12Z</dcterms:modified>
</cp:coreProperties>
</file>