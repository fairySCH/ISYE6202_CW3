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aadhithyaa/Library/Mobile Documents/com~apple~CloudDocs/Studies/ISyE 6335/Casework-3/"/>
    </mc:Choice>
  </mc:AlternateContent>
  <xr:revisionPtr revIDLastSave="0" documentId="13_ncr:1_{1BA217BC-E58F-7C4B-BB97-F3956D292A79}" xr6:coauthVersionLast="47" xr6:coauthVersionMax="47" xr10:uidLastSave="{00000000-0000-0000-0000-000000000000}"/>
  <bookViews>
    <workbookView xWindow="0" yWindow="680" windowWidth="29400" windowHeight="17360" activeTab="2" xr2:uid="{0D71519B-650F-3D41-AA73-1BC6CBA68DBE}"/>
  </bookViews>
  <sheets>
    <sheet name="Flow Matrix" sheetId="1" r:id="rId1"/>
    <sheet name="Step2" sheetId="3" r:id="rId2"/>
    <sheet name="Size Matrix" sheetId="4" r:id="rId3"/>
    <sheet name="Skeleton Layout" sheetId="5" r:id="rId4"/>
    <sheet name="Distance for Travel" sheetId="6" r:id="rId5"/>
    <sheet name="Final Layou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H13" i="3"/>
  <c r="H14" i="3"/>
  <c r="J14" i="3" s="1"/>
  <c r="H15" i="3"/>
  <c r="J15" i="3" s="1"/>
  <c r="H16" i="3"/>
  <c r="J16" i="3" s="1"/>
  <c r="H12" i="3"/>
  <c r="J12" i="3" s="1"/>
  <c r="M3" i="8"/>
  <c r="J13" i="3"/>
  <c r="F16" i="3"/>
  <c r="F15" i="3"/>
  <c r="X9" i="1" l="1"/>
  <c r="X8" i="1"/>
  <c r="X7" i="1"/>
  <c r="X6" i="1"/>
  <c r="BB11" i="6" l="1"/>
  <c r="AP26" i="6"/>
  <c r="BN22" i="6"/>
  <c r="BL22" i="6"/>
  <c r="BK22" i="6"/>
  <c r="BJ22" i="6"/>
  <c r="BI22" i="6"/>
  <c r="BH22" i="6"/>
  <c r="BG22" i="6"/>
  <c r="BF22" i="6"/>
  <c r="BE22" i="6"/>
  <c r="BD22" i="6"/>
  <c r="BC22" i="6"/>
  <c r="BB22" i="6"/>
  <c r="BM21" i="6"/>
  <c r="BL21" i="6" s="1"/>
  <c r="BK21" i="6"/>
  <c r="BJ21" i="6"/>
  <c r="BI21" i="6"/>
  <c r="BH21" i="6"/>
  <c r="BG21" i="6"/>
  <c r="BF21" i="6"/>
  <c r="BE21" i="6"/>
  <c r="BD21" i="6"/>
  <c r="BC21" i="6"/>
  <c r="BB21" i="6"/>
  <c r="BL20" i="6"/>
  <c r="BK20" i="6"/>
  <c r="BJ20" i="6"/>
  <c r="BI20" i="6"/>
  <c r="BH20" i="6"/>
  <c r="BG20" i="6"/>
  <c r="BF20" i="6"/>
  <c r="BE20" i="6"/>
  <c r="BD20" i="6"/>
  <c r="BC20" i="6"/>
  <c r="BB20" i="6"/>
  <c r="BN19" i="6"/>
  <c r="BM19" i="6"/>
  <c r="BL19" i="6"/>
  <c r="BK19" i="6"/>
  <c r="BI19" i="6"/>
  <c r="BH19" i="6"/>
  <c r="BG19" i="6"/>
  <c r="BF19" i="6"/>
  <c r="BE19" i="6"/>
  <c r="BD19" i="6"/>
  <c r="BC19" i="6"/>
  <c r="BB19" i="6"/>
  <c r="BN18" i="6"/>
  <c r="BM18" i="6"/>
  <c r="BL18" i="6"/>
  <c r="BJ18" i="6"/>
  <c r="BI18" i="6"/>
  <c r="BH18" i="6"/>
  <c r="BG18" i="6"/>
  <c r="BF18" i="6"/>
  <c r="BE18" i="6"/>
  <c r="BD18" i="6"/>
  <c r="BC18" i="6"/>
  <c r="BB18" i="6"/>
  <c r="BN17" i="6"/>
  <c r="BM17" i="6"/>
  <c r="BL17" i="6"/>
  <c r="BI17" i="6"/>
  <c r="BH17" i="6"/>
  <c r="BG17" i="6"/>
  <c r="BF17" i="6"/>
  <c r="BE17" i="6"/>
  <c r="BD17" i="6"/>
  <c r="BC17" i="6"/>
  <c r="BB17" i="6"/>
  <c r="BN16" i="6"/>
  <c r="BM16" i="6"/>
  <c r="BI16" i="6" s="1"/>
  <c r="BL16" i="6"/>
  <c r="BK16" i="6"/>
  <c r="BH16" i="6"/>
  <c r="BE16" i="6"/>
  <c r="BD16" i="6"/>
  <c r="BC16" i="6"/>
  <c r="BB16" i="6"/>
  <c r="BN15" i="6"/>
  <c r="BM15" i="6"/>
  <c r="BI15" i="6" s="1"/>
  <c r="BL15" i="6"/>
  <c r="BK15" i="6"/>
  <c r="BG15" i="6"/>
  <c r="BF15" i="6"/>
  <c r="BE15" i="6"/>
  <c r="BC15" i="6"/>
  <c r="BB15" i="6"/>
  <c r="BN14" i="6"/>
  <c r="BM14" i="6"/>
  <c r="BI14" i="6" s="1"/>
  <c r="BL14" i="6"/>
  <c r="BK14" i="6"/>
  <c r="BJ14" i="6"/>
  <c r="BF14" i="6"/>
  <c r="BE14" i="6"/>
  <c r="BD14" i="6"/>
  <c r="BC14" i="6"/>
  <c r="BB14" i="6"/>
  <c r="BH14" i="6"/>
  <c r="BG14" i="6"/>
  <c r="BN13" i="6"/>
  <c r="BM13" i="6"/>
  <c r="BL13" i="6"/>
  <c r="BK13" i="6"/>
  <c r="BG13" i="6"/>
  <c r="BF13" i="6"/>
  <c r="BE13" i="6"/>
  <c r="BC13" i="6"/>
  <c r="BB13" i="6"/>
  <c r="BN12" i="6"/>
  <c r="BM12" i="6"/>
  <c r="BL12" i="6"/>
  <c r="BK12" i="6"/>
  <c r="BI12" i="6"/>
  <c r="BH12" i="6"/>
  <c r="BG12" i="6"/>
  <c r="BF12" i="6"/>
  <c r="BD12" i="6"/>
  <c r="BC12" i="6"/>
  <c r="BB12" i="6"/>
  <c r="BN11" i="6"/>
  <c r="BM11" i="6"/>
  <c r="BL11" i="6"/>
  <c r="BK11" i="6"/>
  <c r="BJ11" i="6"/>
  <c r="BI11" i="6"/>
  <c r="BH11" i="6"/>
  <c r="BG11" i="6"/>
  <c r="BF11" i="6"/>
  <c r="BC11" i="6"/>
  <c r="BN10" i="6"/>
  <c r="BM10" i="6"/>
  <c r="BC10" i="6" s="1"/>
  <c r="BL10" i="6"/>
  <c r="BK10" i="6"/>
  <c r="BJ10" i="6"/>
  <c r="BI10" i="6"/>
  <c r="BH10" i="6"/>
  <c r="BG10" i="6"/>
  <c r="BF10" i="6"/>
  <c r="BE10" i="6"/>
  <c r="F13" i="3"/>
  <c r="F14" i="3"/>
  <c r="F12" i="3"/>
  <c r="BH13" i="6" l="1"/>
  <c r="BD13" i="6"/>
  <c r="BK17" i="6"/>
  <c r="BF16" i="6"/>
  <c r="BK18" i="6"/>
  <c r="BH15" i="6"/>
  <c r="BD15" i="6"/>
  <c r="BN21" i="6"/>
  <c r="BI13" i="6"/>
  <c r="BD11" i="6"/>
  <c r="BD10" i="6"/>
  <c r="BG16" i="6"/>
  <c r="BB10" i="6"/>
  <c r="G16" i="3"/>
  <c r="K16" i="3" s="1"/>
  <c r="G15" i="3"/>
  <c r="K15" i="3" s="1"/>
  <c r="G14" i="3"/>
  <c r="K14" i="3" s="1"/>
  <c r="G13" i="3"/>
  <c r="K13" i="3" s="1"/>
  <c r="G12" i="3"/>
  <c r="K12" i="3" s="1"/>
  <c r="X4" i="1" l="1"/>
  <c r="Y9" i="1" s="1"/>
  <c r="Y8" i="1" l="1"/>
  <c r="Y7" i="1"/>
  <c r="Y6" i="1"/>
  <c r="Z6" i="1" s="1"/>
  <c r="BE11" i="6"/>
  <c r="BE12" i="6"/>
  <c r="BN20" i="6"/>
  <c r="BM20" i="6"/>
  <c r="BM22" i="6"/>
  <c r="BJ15" i="6"/>
  <c r="BJ17" i="6"/>
  <c r="BJ12" i="6"/>
  <c r="BJ19" i="6"/>
  <c r="BJ13" i="6"/>
  <c r="BJ16" i="6"/>
  <c r="Z7" i="1" l="1"/>
  <c r="Z8" i="1" s="1"/>
  <c r="Z9" i="1" s="1"/>
  <c r="AP25" i="6"/>
  <c r="AP27" i="6" s="1"/>
</calcChain>
</file>

<file path=xl/sharedStrings.xml><?xml version="1.0" encoding="utf-8"?>
<sst xmlns="http://schemas.openxmlformats.org/spreadsheetml/2006/main" count="191" uniqueCount="53">
  <si>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</si>
  <si>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</si>
  <si>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</si>
  <si>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</si>
  <si>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</si>
  <si>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</si>
  <si>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</si>
  <si>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</si>
  <si>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</si>
  <si>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</si>
  <si>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</si>
  <si>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</si>
  <si>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</si>
  <si>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Total Flow</t>
  </si>
  <si>
    <t>% of total flow</t>
  </si>
  <si>
    <t>Cum flow%</t>
  </si>
  <si>
    <t>C-&gt;D</t>
  </si>
  <si>
    <t>Equal flow across all machines</t>
  </si>
  <si>
    <t>Process</t>
  </si>
  <si>
    <t>Total_Equipment</t>
  </si>
  <si>
    <t>Utilization_per_Center</t>
  </si>
  <si>
    <t>Area per eqp ft2</t>
  </si>
  <si>
    <t>Total area of each eqp centre ft2</t>
  </si>
  <si>
    <t xml:space="preserve">L </t>
  </si>
  <si>
    <t>W</t>
  </si>
  <si>
    <t>HIJ</t>
  </si>
  <si>
    <t>ABCD</t>
  </si>
  <si>
    <t>Part</t>
  </si>
  <si>
    <t>Total_Machines</t>
  </si>
  <si>
    <t>14 Ft</t>
  </si>
  <si>
    <t>1unit</t>
  </si>
  <si>
    <t>1unit=</t>
  </si>
  <si>
    <t>X</t>
  </si>
  <si>
    <t>Y</t>
  </si>
  <si>
    <t>centre to centre distance (X axis)</t>
  </si>
  <si>
    <t>centre to centre distance (Y axis)</t>
  </si>
  <si>
    <t>Dist</t>
  </si>
  <si>
    <t>total distance</t>
  </si>
  <si>
    <t>Total flow</t>
  </si>
  <si>
    <t>Distance per trip</t>
  </si>
  <si>
    <t>14ft</t>
  </si>
  <si>
    <t>A-&gt;C</t>
  </si>
  <si>
    <t>D-&gt;H</t>
  </si>
  <si>
    <t>H-&gt;J</t>
  </si>
  <si>
    <t>P2</t>
  </si>
  <si>
    <t>A: 4.0</t>
  </si>
  <si>
    <t>C: 2.0</t>
  </si>
  <si>
    <t>D: 7.0</t>
  </si>
  <si>
    <t>H: 3.0</t>
  </si>
  <si>
    <t>J: 7.0</t>
  </si>
  <si>
    <t>Area</t>
  </si>
  <si>
    <t>Aspect ratio 1unit=14ft L</t>
  </si>
  <si>
    <t>Aspect ratio 1unit=14ft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</si>
</sst>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8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theme="0"/>
      <name val="Helvetica Neue"/>
      <family val="2"/>
    </font>
    <font>
      <sz val="18"/>
      <color theme="0"/>
      <name val="Aptos Narrow"/>
      <family val="2"/>
      <scheme val="minor"/>
    </font>
    <font>
      <sz val="10"/>
      <color theme="1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</cellStyleXfs>
  <cellXfs count="57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top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9" fontId="7" fillId="0" borderId="4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8" fillId="6" borderId="1" xfId="0" applyFont="1" applyFill="1" applyBorder="1" applyAlignment="1">
      <alignment vertical="top"/>
    </xf>
    <xf numFmtId="49" fontId="8" fillId="6" borderId="1" xfId="0" applyNumberFormat="1" applyFont="1" applyFill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1" fontId="3" fillId="0" borderId="1" xfId="0" applyNumberFormat="1" applyFont="1" applyBorder="1" applyAlignment="1">
      <alignment vertical="top"/>
    </xf>
    <xf numFmtId="1" fontId="0" fillId="7" borderId="1" xfId="0" applyNumberFormat="1" applyFill="1" applyBorder="1" applyAlignment="1">
      <alignment vertical="top"/>
    </xf>
    <xf numFmtId="1" fontId="9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1" fontId="11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6" fillId="4" borderId="0" xfId="0" applyFont="1" applyFill="1" applyAlignment="1">
      <alignment horizontal="right" vertical="top" wrapText="1"/>
    </xf>
    <xf numFmtId="0" fontId="0" fillId="4" borderId="0" xfId="0" applyFill="1" applyAlignment="1">
      <alignment horizontal="right" vertical="top" wrapText="1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0" fillId="7" borderId="0" xfId="0" applyFont="1" applyFill="1" applyAlignment="1">
      <alignment horizontal="center" vertical="center"/>
    </xf>
  </cellXfs>
  <cellStyles count="3">
    <cellStyle name="Normal" xfId="0" builtinId="0"/>
    <cellStyle name="Normal 2" xfId="2" xr:uid="{C231D0D1-2CAF-444F-B2E8-676768CA1C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154212</xdr:colOff>
      <xdr:row>5</xdr:row>
      <xdr:rowOff>136069</xdr:rowOff>
    </xdr:from>
    <xdr:to>
      <xdr:col>27</xdr:col>
      <xdr:colOff>312962</xdr:colOff>
      <xdr:row>5</xdr:row>
      <xdr:rowOff>144006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190266-6C58-DD4B-8881-B67F08CA9B4C}"/>
            </a:ext>
          </a:extLst>
        </xdr:cNvPr>
        <xdr:cNvCxnSpPr/>
      </xdr:nvCxnSpPr>
      <xdr:spPr>
        <a:xfrm>
          <a:off x="13770426" y="1750783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6</xdr:row>
      <xdr:rowOff>63498</xdr:rowOff>
    </xdr:from>
    <xdr:to>
      <xdr:col>27</xdr:col>
      <xdr:colOff>285748</xdr:colOff>
      <xdr:row>6</xdr:row>
      <xdr:rowOff>71435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16D7737-6DAA-7042-A3F7-E6C2639B5BD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7</xdr:row>
      <xdr:rowOff>63498</xdr:rowOff>
    </xdr:from>
    <xdr:to>
      <xdr:col>27</xdr:col>
      <xdr:colOff>285748</xdr:colOff>
      <xdr:row>7</xdr:row>
      <xdr:rowOff>71435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AC30D3B-FAFE-A84B-9FD5-A0C51A3A69AB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26</xdr:col>
      <xdr:colOff>126998</xdr:colOff>
      <xdr:row>8</xdr:row>
      <xdr:rowOff>63498</xdr:rowOff>
    </xdr:from>
    <xdr:to>
      <xdr:col>27</xdr:col>
      <xdr:colOff>285748</xdr:colOff>
      <xdr:row>8</xdr:row>
      <xdr:rowOff>71435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AD63283-F222-914E-8BCE-FFBEDC48679E}"/>
            </a:ext>
          </a:extLst>
        </xdr:cNvPr>
        <xdr:cNvCxnSpPr/>
      </xdr:nvCxnSpPr>
      <xdr:spPr>
        <a:xfrm>
          <a:off x="13507355" y="1678212"/>
          <a:ext cx="612322" cy="7937"/>
        </a:xfrm>
        <a:prstGeom prst="straightConnector1">
          <a:avLst/>
        </a:prstGeom>
        <a:noFill/>
        <a:ln w="12700" cap="flat">
          <a:solidFill>
            <a:schemeClr val="accent6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12699</xdr:colOff>
      <xdr:row>11</xdr:row>
      <xdr:rowOff>0</xdr:rowOff>
    </xdr:from>
    <xdr:to>
      <xdr:col>9</xdr:col>
      <xdr:colOff>12700</xdr:colOff>
      <xdr:row>13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308134-670F-BC4A-B8C3-3860C5F29C9C}"/>
            </a:ext>
          </a:extLst>
        </xdr:cNvPr>
        <xdr:cNvGrpSpPr/>
      </xdr:nvGrpSpPr>
      <xdr:grpSpPr>
        <a:xfrm>
          <a:off x="5092699" y="5588000"/>
          <a:ext cx="635001" cy="1016000"/>
          <a:chOff x="3660365" y="19765723"/>
          <a:chExt cx="1168399" cy="128579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B5D652C-5167-6EBB-2BCB-0D88DD60B730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352EAF57-1C09-7FB3-F8D8-441037DDAC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59F5D418-8733-F8E4-09AD-092987934529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5B9EE71-CC4C-76B1-F0E6-AEDDCB5BDFF4}"/>
              </a:ext>
            </a:extLst>
          </xdr:cNvPr>
          <xdr:cNvSpPr/>
        </xdr:nvSpPr>
        <xdr:spPr>
          <a:xfrm>
            <a:off x="3884548" y="19864627"/>
            <a:ext cx="768957" cy="108798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12700</xdr:colOff>
      <xdr:row>14</xdr:row>
      <xdr:rowOff>25400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BA1C697-39E3-9842-BA4A-43C4EB7FA4F5}"/>
            </a:ext>
          </a:extLst>
        </xdr:cNvPr>
        <xdr:cNvGrpSpPr/>
      </xdr:nvGrpSpPr>
      <xdr:grpSpPr>
        <a:xfrm>
          <a:off x="3810000" y="5080000"/>
          <a:ext cx="647700" cy="2057400"/>
          <a:chOff x="7403600" y="19633475"/>
          <a:chExt cx="1431609" cy="2135415"/>
        </a:xfrm>
        <a:solidFill>
          <a:schemeClr val="bg1">
            <a:lumMod val="50000"/>
          </a:schemeClr>
        </a:solidFill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ABAC99B-FF1B-55D6-D2A5-60B98AB23808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  <a:grpFill/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572E793D-E3AE-5B16-89B0-771E832A9E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397F8B68-C5B3-1D36-062E-3909DED903A4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0333A84-2D52-93C0-0B19-E4A84B1EA880}"/>
              </a:ext>
            </a:extLst>
          </xdr:cNvPr>
          <xdr:cNvSpPr/>
        </xdr:nvSpPr>
        <xdr:spPr>
          <a:xfrm>
            <a:off x="7727286" y="20094729"/>
            <a:ext cx="793667" cy="1255620"/>
          </a:xfrm>
          <a:prstGeom prst="rect">
            <a:avLst/>
          </a:prstGeom>
          <a:solidFill>
            <a:schemeClr val="tx1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7</xdr:col>
      <xdr:colOff>12700</xdr:colOff>
      <xdr:row>11</xdr:row>
      <xdr:rowOff>497745</xdr:rowOff>
    </xdr:from>
    <xdr:to>
      <xdr:col>8</xdr:col>
      <xdr:colOff>12699</xdr:colOff>
      <xdr:row>11</xdr:row>
      <xdr:rowOff>507397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00409ED-AF07-8F4A-9337-2D3E766456BC}"/>
            </a:ext>
          </a:extLst>
        </xdr:cNvPr>
        <xdr:cNvCxnSpPr>
          <a:stCxn id="11" idx="3"/>
          <a:endCxn id="6" idx="1"/>
        </xdr:cNvCxnSpPr>
      </xdr:nvCxnSpPr>
      <xdr:spPr>
        <a:xfrm flipV="1">
          <a:off x="4457700" y="6085745"/>
          <a:ext cx="634999" cy="9652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10</xdr:col>
      <xdr:colOff>12700</xdr:colOff>
      <xdr:row>10</xdr:row>
      <xdr:rowOff>0</xdr:rowOff>
    </xdr:from>
    <xdr:to>
      <xdr:col>12</xdr:col>
      <xdr:colOff>12700</xdr:colOff>
      <xdr:row>13</xdr:row>
      <xdr:rowOff>292100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C8090F1-5FA5-F64B-998D-53D8C065E463}"/>
            </a:ext>
          </a:extLst>
        </xdr:cNvPr>
        <xdr:cNvGrpSpPr/>
      </xdr:nvGrpSpPr>
      <xdr:grpSpPr>
        <a:xfrm>
          <a:off x="6362700" y="5080000"/>
          <a:ext cx="1270000" cy="1816100"/>
          <a:chOff x="7403600" y="19633475"/>
          <a:chExt cx="1431609" cy="2135415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12147F87-8D88-63E5-5529-FF9B47259405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F5E0C9EF-0D96-71D5-7222-5380F8065D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506A8BB1-9791-532E-C99A-B95D619C88BB}"/>
                </a:ext>
              </a:extLst>
            </xdr:cNvPr>
            <xdr:cNvSpPr/>
          </xdr:nvSpPr>
          <xdr:spPr>
            <a:xfrm>
              <a:off x="6206869" y="1900075"/>
              <a:ext cx="1303065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68DA8AC2-E92E-14F9-9D2B-E676398E0122}"/>
              </a:ext>
            </a:extLst>
          </xdr:cNvPr>
          <xdr:cNvSpPr/>
        </xdr:nvSpPr>
        <xdr:spPr>
          <a:xfrm>
            <a:off x="7727285" y="20325231"/>
            <a:ext cx="710837" cy="71174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9</xdr:col>
      <xdr:colOff>12700</xdr:colOff>
      <xdr:row>11</xdr:row>
      <xdr:rowOff>388308</xdr:rowOff>
    </xdr:from>
    <xdr:to>
      <xdr:col>10</xdr:col>
      <xdr:colOff>13481</xdr:colOff>
      <xdr:row>11</xdr:row>
      <xdr:rowOff>497745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47391DD-C362-7E49-A867-28CC5FCDDD1E}"/>
            </a:ext>
          </a:extLst>
        </xdr:cNvPr>
        <xdr:cNvCxnSpPr>
          <a:stCxn id="6" idx="3"/>
          <a:endCxn id="21" idx="1"/>
        </xdr:cNvCxnSpPr>
      </xdr:nvCxnSpPr>
      <xdr:spPr>
        <a:xfrm flipV="1">
          <a:off x="5727700" y="5976308"/>
          <a:ext cx="635781" cy="109437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13</xdr:col>
      <xdr:colOff>12701</xdr:colOff>
      <xdr:row>9</xdr:row>
      <xdr:rowOff>495300</xdr:rowOff>
    </xdr:from>
    <xdr:to>
      <xdr:col>15</xdr:col>
      <xdr:colOff>12700</xdr:colOff>
      <xdr:row>14</xdr:row>
      <xdr:rowOff>12700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792B39B-E59F-5947-9232-DE68F8503048}"/>
            </a:ext>
          </a:extLst>
        </xdr:cNvPr>
        <xdr:cNvGrpSpPr/>
      </xdr:nvGrpSpPr>
      <xdr:grpSpPr>
        <a:xfrm>
          <a:off x="8267701" y="5067300"/>
          <a:ext cx="1269999" cy="2057400"/>
          <a:chOff x="486956" y="1091837"/>
          <a:chExt cx="1152433" cy="1233671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6DD854AA-10FB-4221-B55D-F64B8817E0E5}"/>
              </a:ext>
            </a:extLst>
          </xdr:cNvPr>
          <xdr:cNvGrpSpPr/>
        </xdr:nvGrpSpPr>
        <xdr:grpSpPr>
          <a:xfrm>
            <a:off x="486956" y="1091837"/>
            <a:ext cx="1152433" cy="1233671"/>
            <a:chOff x="3253006" y="1912346"/>
            <a:chExt cx="1335928" cy="1284690"/>
          </a:xfrm>
          <a:solidFill>
            <a:schemeClr val="accent2">
              <a:lumMod val="75000"/>
            </a:schemeClr>
          </a:solidFill>
        </xdr:grpSpPr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4F0B3D0E-0046-67E7-334A-D8A66EAF7C7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271335"/>
            </a:xfrm>
            <a:prstGeom prst="rect">
              <a:avLst/>
            </a:prstGeom>
            <a:grpFill/>
          </xdr:spPr>
        </xdr:pic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DA251ADA-6FE3-8ECB-6D1B-E35F6D77F2C1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DC2E0331-8205-E3CB-430A-C783E89D12CF}"/>
              </a:ext>
            </a:extLst>
          </xdr:cNvPr>
          <xdr:cNvSpPr/>
        </xdr:nvSpPr>
        <xdr:spPr>
          <a:xfrm>
            <a:off x="759098" y="1514339"/>
            <a:ext cx="574766" cy="313604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12</xdr:col>
      <xdr:colOff>12700</xdr:colOff>
      <xdr:row>11</xdr:row>
      <xdr:rowOff>388308</xdr:rowOff>
    </xdr:from>
    <xdr:to>
      <xdr:col>13</xdr:col>
      <xdr:colOff>12701</xdr:colOff>
      <xdr:row>12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92D4F5E-87B2-A24E-A61D-15136E4F1723}"/>
            </a:ext>
          </a:extLst>
        </xdr:cNvPr>
        <xdr:cNvCxnSpPr>
          <a:stCxn id="21" idx="3"/>
          <a:endCxn id="35" idx="1"/>
        </xdr:cNvCxnSpPr>
      </xdr:nvCxnSpPr>
      <xdr:spPr>
        <a:xfrm>
          <a:off x="7632700" y="5976308"/>
          <a:ext cx="635001" cy="119692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15</xdr:col>
      <xdr:colOff>12700</xdr:colOff>
      <xdr:row>12</xdr:row>
      <xdr:rowOff>0</xdr:rowOff>
    </xdr:from>
    <xdr:to>
      <xdr:col>16</xdr:col>
      <xdr:colOff>18451</xdr:colOff>
      <xdr:row>13</xdr:row>
      <xdr:rowOff>880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F128F91-CFA2-804F-837F-85B333066094}"/>
            </a:ext>
          </a:extLst>
        </xdr:cNvPr>
        <xdr:cNvCxnSpPr>
          <a:stCxn id="35" idx="3"/>
          <a:endCxn id="66" idx="1"/>
        </xdr:cNvCxnSpPr>
      </xdr:nvCxnSpPr>
      <xdr:spPr>
        <a:xfrm>
          <a:off x="9537700" y="6096000"/>
          <a:ext cx="640751" cy="508880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19</xdr:col>
      <xdr:colOff>12700</xdr:colOff>
      <xdr:row>16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C9484A6E-BF93-E94B-829B-E6D7B62CDF1C}"/>
            </a:ext>
          </a:extLst>
        </xdr:cNvPr>
        <xdr:cNvGrpSpPr/>
      </xdr:nvGrpSpPr>
      <xdr:grpSpPr>
        <a:xfrm>
          <a:off x="10160000" y="5080000"/>
          <a:ext cx="1917700" cy="3048000"/>
          <a:chOff x="7415704" y="5256054"/>
          <a:chExt cx="3196683" cy="3069666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CB87A590-2D0A-A736-C5B7-CA9DAE77E538}"/>
              </a:ext>
            </a:extLst>
          </xdr:cNvPr>
          <xdr:cNvGrpSpPr/>
        </xdr:nvGrpSpPr>
        <xdr:grpSpPr>
          <a:xfrm>
            <a:off x="7415704" y="5256054"/>
            <a:ext cx="3196683" cy="3069666"/>
            <a:chOff x="5969000" y="3564467"/>
            <a:chExt cx="3067800" cy="959155"/>
          </a:xfrm>
        </xdr:grpSpPr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DE49DA74-05BB-96C9-9014-CA018D91F4C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9AAF001-3540-D6D3-02D2-1F42E1D633EF}"/>
                </a:ext>
              </a:extLst>
            </xdr:cNvPr>
            <xdr:cNvSpPr/>
          </xdr:nvSpPr>
          <xdr:spPr>
            <a:xfrm>
              <a:off x="5998517" y="3565021"/>
              <a:ext cx="3038283" cy="95860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54377307-FA82-E2C6-AD9B-10FFD9A8F168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507999</xdr:colOff>
      <xdr:row>9</xdr:row>
      <xdr:rowOff>12700</xdr:rowOff>
    </xdr:from>
    <xdr:to>
      <xdr:col>10</xdr:col>
      <xdr:colOff>495300</xdr:colOff>
      <xdr:row>11</xdr:row>
      <xdr:rowOff>12700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0514076-3C73-8747-B31C-0DCB4139749C}"/>
            </a:ext>
          </a:extLst>
        </xdr:cNvPr>
        <xdr:cNvGrpSpPr/>
      </xdr:nvGrpSpPr>
      <xdr:grpSpPr>
        <a:xfrm>
          <a:off x="5079999" y="4584700"/>
          <a:ext cx="495301" cy="1016000"/>
          <a:chOff x="3660365" y="19765723"/>
          <a:chExt cx="1168399" cy="128579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B5826EA-22AB-D47B-F78A-48653DF7D2D8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8725FBBF-3122-0C04-D4EA-F2AC38FC8E7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8F9F5D8B-869E-401B-4147-844DD799EF06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574B0E6-8891-3C04-FFFD-3FEA7C10FB49}"/>
              </a:ext>
            </a:extLst>
          </xdr:cNvPr>
          <xdr:cNvSpPr/>
        </xdr:nvSpPr>
        <xdr:spPr>
          <a:xfrm>
            <a:off x="3884548" y="19864627"/>
            <a:ext cx="768957" cy="108798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0</xdr:colOff>
      <xdr:row>12</xdr:row>
      <xdr:rowOff>25400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748CE97-89CD-1541-8B77-AFE6206BC2D4}"/>
            </a:ext>
          </a:extLst>
        </xdr:cNvPr>
        <xdr:cNvGrpSpPr/>
      </xdr:nvGrpSpPr>
      <xdr:grpSpPr>
        <a:xfrm>
          <a:off x="4572000" y="4064000"/>
          <a:ext cx="508000" cy="2057400"/>
          <a:chOff x="7403600" y="19633475"/>
          <a:chExt cx="1431609" cy="2135415"/>
        </a:xfrm>
        <a:solidFill>
          <a:schemeClr val="bg1">
            <a:lumMod val="50000"/>
          </a:schemeClr>
        </a:solidFill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96C0D3A0-7029-3683-B2A0-C1A18954724E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  <a:grpFill/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BFF02B72-7D79-C090-A9FF-C9106ABF128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E36F6B6C-7E5D-D4D1-ED1C-63204FE3D8E4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0F18695-7C0F-84B9-E988-7EDECFA4EC0B}"/>
              </a:ext>
            </a:extLst>
          </xdr:cNvPr>
          <xdr:cNvSpPr/>
        </xdr:nvSpPr>
        <xdr:spPr>
          <a:xfrm>
            <a:off x="7727286" y="20094729"/>
            <a:ext cx="793667" cy="1255620"/>
          </a:xfrm>
          <a:prstGeom prst="rect">
            <a:avLst/>
          </a:prstGeom>
          <a:solidFill>
            <a:schemeClr val="tx1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10</xdr:col>
      <xdr:colOff>495300</xdr:colOff>
      <xdr:row>8</xdr:row>
      <xdr:rowOff>101600</xdr:rowOff>
    </xdr:from>
    <xdr:to>
      <xdr:col>13</xdr:col>
      <xdr:colOff>25400</xdr:colOff>
      <xdr:row>11</xdr:row>
      <xdr:rowOff>393700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558D5948-F05E-D34E-A9A2-3FB1394E07C0}"/>
            </a:ext>
          </a:extLst>
        </xdr:cNvPr>
        <xdr:cNvGrpSpPr/>
      </xdr:nvGrpSpPr>
      <xdr:grpSpPr>
        <a:xfrm>
          <a:off x="5575300" y="4165600"/>
          <a:ext cx="1054100" cy="1816100"/>
          <a:chOff x="7403600" y="19633475"/>
          <a:chExt cx="1431609" cy="2135415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D607D4C0-A934-8F4F-9991-A16C1F60C4AD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2622C91B-7533-32C0-E902-A8A1B613A8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3C5C7F20-5B18-1EAB-B8C0-81A01872E283}"/>
                </a:ext>
              </a:extLst>
            </xdr:cNvPr>
            <xdr:cNvSpPr/>
          </xdr:nvSpPr>
          <xdr:spPr>
            <a:xfrm>
              <a:off x="6206869" y="1900075"/>
              <a:ext cx="1303065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65DD6C45-AFA8-6E7A-5DCA-B27C7D7E6AD4}"/>
              </a:ext>
            </a:extLst>
          </xdr:cNvPr>
          <xdr:cNvSpPr/>
        </xdr:nvSpPr>
        <xdr:spPr>
          <a:xfrm>
            <a:off x="7727285" y="20325231"/>
            <a:ext cx="710837" cy="71174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13</xdr:col>
      <xdr:colOff>12701</xdr:colOff>
      <xdr:row>7</xdr:row>
      <xdr:rowOff>495300</xdr:rowOff>
    </xdr:from>
    <xdr:to>
      <xdr:col>15</xdr:col>
      <xdr:colOff>0</xdr:colOff>
      <xdr:row>12</xdr:row>
      <xdr:rowOff>12700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88B633A-EFDB-3842-BB97-89A59E448DE7}"/>
            </a:ext>
          </a:extLst>
        </xdr:cNvPr>
        <xdr:cNvGrpSpPr/>
      </xdr:nvGrpSpPr>
      <xdr:grpSpPr>
        <a:xfrm>
          <a:off x="6616701" y="4051300"/>
          <a:ext cx="1003299" cy="2057400"/>
          <a:chOff x="486956" y="1091837"/>
          <a:chExt cx="1152433" cy="1233671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AA622127-D241-50DE-0E33-0F26081B66EE}"/>
              </a:ext>
            </a:extLst>
          </xdr:cNvPr>
          <xdr:cNvGrpSpPr/>
        </xdr:nvGrpSpPr>
        <xdr:grpSpPr>
          <a:xfrm>
            <a:off x="486956" y="1091837"/>
            <a:ext cx="1152433" cy="1233671"/>
            <a:chOff x="3253006" y="1912346"/>
            <a:chExt cx="1335928" cy="1284690"/>
          </a:xfrm>
          <a:solidFill>
            <a:schemeClr val="accent2">
              <a:lumMod val="75000"/>
            </a:schemeClr>
          </a:solidFill>
        </xdr:grpSpPr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FF72934C-7546-1557-379D-66F061A5DE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271335"/>
            </a:xfrm>
            <a:prstGeom prst="rect">
              <a:avLst/>
            </a:prstGeom>
            <a:grpFill/>
          </xdr:spPr>
        </xdr:pic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95F31220-EDD2-C2EE-6BDA-8A143BF3E476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43FC6D76-3D1D-2A73-E69F-F034CB1CE4F7}"/>
              </a:ext>
            </a:extLst>
          </xdr:cNvPr>
          <xdr:cNvSpPr/>
        </xdr:nvSpPr>
        <xdr:spPr>
          <a:xfrm>
            <a:off x="759098" y="1514339"/>
            <a:ext cx="574766" cy="313604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14</xdr:col>
      <xdr:colOff>482600</xdr:colOff>
      <xdr:row>7</xdr:row>
      <xdr:rowOff>12700</xdr:rowOff>
    </xdr:from>
    <xdr:to>
      <xdr:col>18</xdr:col>
      <xdr:colOff>12700</xdr:colOff>
      <xdr:row>13</xdr:row>
      <xdr:rowOff>38100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84D0D7C-725C-EF40-AA3B-63F168219A37}"/>
            </a:ext>
          </a:extLst>
        </xdr:cNvPr>
        <xdr:cNvGrpSpPr/>
      </xdr:nvGrpSpPr>
      <xdr:grpSpPr>
        <a:xfrm>
          <a:off x="7594600" y="3568700"/>
          <a:ext cx="1562100" cy="3073400"/>
          <a:chOff x="7415704" y="5256054"/>
          <a:chExt cx="3196683" cy="3069666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D61B5453-8CA4-98BC-2008-E1730E11FA94}"/>
              </a:ext>
            </a:extLst>
          </xdr:cNvPr>
          <xdr:cNvGrpSpPr/>
        </xdr:nvGrpSpPr>
        <xdr:grpSpPr>
          <a:xfrm>
            <a:off x="7415704" y="5256054"/>
            <a:ext cx="3196683" cy="3069666"/>
            <a:chOff x="5969000" y="3564467"/>
            <a:chExt cx="3067800" cy="959155"/>
          </a:xfrm>
        </xdr:grpSpPr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0FA17CEB-B209-1D9D-266F-E382B96EF0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35" name="Rectangle 34">
              <a:extLst>
                <a:ext uri="{FF2B5EF4-FFF2-40B4-BE49-F238E27FC236}">
                  <a16:creationId xmlns:a16="http://schemas.microsoft.com/office/drawing/2014/main" id="{362EC6D8-F2D4-7867-B022-FE5F8A6F1652}"/>
                </a:ext>
              </a:extLst>
            </xdr:cNvPr>
            <xdr:cNvSpPr/>
          </xdr:nvSpPr>
          <xdr:spPr>
            <a:xfrm>
              <a:off x="5998517" y="3565021"/>
              <a:ext cx="3038283" cy="95860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6B91CDEC-75EE-C1E6-6F8C-E1AFB2086C5A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507999</xdr:colOff>
      <xdr:row>14</xdr:row>
      <xdr:rowOff>12700</xdr:rowOff>
    </xdr:from>
    <xdr:to>
      <xdr:col>11</xdr:col>
      <xdr:colOff>495300</xdr:colOff>
      <xdr:row>16</xdr:row>
      <xdr:rowOff>12700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BB66A51-1BD2-9848-BCA9-4F49C0777893}"/>
            </a:ext>
          </a:extLst>
        </xdr:cNvPr>
        <xdr:cNvGrpSpPr/>
      </xdr:nvGrpSpPr>
      <xdr:grpSpPr>
        <a:xfrm>
          <a:off x="5555435" y="7079110"/>
          <a:ext cx="492044" cy="1009487"/>
          <a:chOff x="3660365" y="19765723"/>
          <a:chExt cx="1168399" cy="1285796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BE063E92-9432-4CCD-62DC-C978AF968813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51256619-307F-906A-09F5-999F5D54BE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F68D1D68-325B-A0AB-08AD-AC466BCC1CD9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4633647-18FA-5608-BA81-D1C98E435A48}"/>
              </a:ext>
            </a:extLst>
          </xdr:cNvPr>
          <xdr:cNvSpPr/>
        </xdr:nvSpPr>
        <xdr:spPr>
          <a:xfrm>
            <a:off x="3884548" y="19864627"/>
            <a:ext cx="768957" cy="108798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0</xdr:colOff>
      <xdr:row>17</xdr:row>
      <xdr:rowOff>25400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86D1F06-92D5-6048-873F-19982F30D45A}"/>
            </a:ext>
          </a:extLst>
        </xdr:cNvPr>
        <xdr:cNvGrpSpPr/>
      </xdr:nvGrpSpPr>
      <xdr:grpSpPr>
        <a:xfrm>
          <a:off x="5047436" y="6561667"/>
          <a:ext cx="504743" cy="2044374"/>
          <a:chOff x="7403600" y="19633475"/>
          <a:chExt cx="1431609" cy="2135415"/>
        </a:xfrm>
        <a:solidFill>
          <a:schemeClr val="bg1">
            <a:lumMod val="50000"/>
          </a:schemeClr>
        </a:solidFill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8AA91B49-37C1-14E9-46EB-ADA88E5E10B0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  <a:grpFill/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90F341D9-343D-618B-278E-97F3D00CD4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B9FD56FB-6D01-6580-B31F-97DBEF7EE97A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AC586FE2-AD4F-9D17-156D-758AED9DF9E6}"/>
              </a:ext>
            </a:extLst>
          </xdr:cNvPr>
          <xdr:cNvSpPr/>
        </xdr:nvSpPr>
        <xdr:spPr>
          <a:xfrm>
            <a:off x="7727286" y="20094729"/>
            <a:ext cx="793667" cy="1255620"/>
          </a:xfrm>
          <a:prstGeom prst="rect">
            <a:avLst/>
          </a:prstGeom>
          <a:solidFill>
            <a:schemeClr val="tx1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11</xdr:col>
      <xdr:colOff>495300</xdr:colOff>
      <xdr:row>13</xdr:row>
      <xdr:rowOff>101600</xdr:rowOff>
    </xdr:from>
    <xdr:to>
      <xdr:col>14</xdr:col>
      <xdr:colOff>25400</xdr:colOff>
      <xdr:row>16</xdr:row>
      <xdr:rowOff>393700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7891D3F-3500-8540-9B51-FF403EDF2CD5}"/>
            </a:ext>
          </a:extLst>
        </xdr:cNvPr>
        <xdr:cNvGrpSpPr/>
      </xdr:nvGrpSpPr>
      <xdr:grpSpPr>
        <a:xfrm>
          <a:off x="6047479" y="6663267"/>
          <a:ext cx="1044331" cy="1806330"/>
          <a:chOff x="7403600" y="19633475"/>
          <a:chExt cx="1431609" cy="2135415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230B12A2-84B0-3D33-F556-1ABC099E4A99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CA64005A-96F1-8E98-E3EB-6168EE9C6F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F4A10A96-67F0-2281-1DD5-0F807ACCB1DD}"/>
                </a:ext>
              </a:extLst>
            </xdr:cNvPr>
            <xdr:cNvSpPr/>
          </xdr:nvSpPr>
          <xdr:spPr>
            <a:xfrm>
              <a:off x="6206869" y="1900075"/>
              <a:ext cx="1303065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47E4A90-C76C-4212-AA82-BF2E5D9C902E}"/>
              </a:ext>
            </a:extLst>
          </xdr:cNvPr>
          <xdr:cNvSpPr/>
        </xdr:nvSpPr>
        <xdr:spPr>
          <a:xfrm>
            <a:off x="7727285" y="20325231"/>
            <a:ext cx="710837" cy="71174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14</xdr:col>
      <xdr:colOff>12701</xdr:colOff>
      <xdr:row>12</xdr:row>
      <xdr:rowOff>495300</xdr:rowOff>
    </xdr:from>
    <xdr:to>
      <xdr:col>16</xdr:col>
      <xdr:colOff>0</xdr:colOff>
      <xdr:row>17</xdr:row>
      <xdr:rowOff>12700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2A5F167-2230-394A-89C7-BEF6DE5AEC2A}"/>
            </a:ext>
          </a:extLst>
        </xdr:cNvPr>
        <xdr:cNvGrpSpPr/>
      </xdr:nvGrpSpPr>
      <xdr:grpSpPr>
        <a:xfrm>
          <a:off x="7079111" y="6552223"/>
          <a:ext cx="996786" cy="2041118"/>
          <a:chOff x="486956" y="1091837"/>
          <a:chExt cx="1152433" cy="1233671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E95524F1-D3A4-AC37-9327-78725F07C59B}"/>
              </a:ext>
            </a:extLst>
          </xdr:cNvPr>
          <xdr:cNvGrpSpPr/>
        </xdr:nvGrpSpPr>
        <xdr:grpSpPr>
          <a:xfrm>
            <a:off x="486956" y="1091837"/>
            <a:ext cx="1152433" cy="1233671"/>
            <a:chOff x="3253006" y="1912346"/>
            <a:chExt cx="1335928" cy="1284690"/>
          </a:xfrm>
          <a:solidFill>
            <a:schemeClr val="accent2">
              <a:lumMod val="75000"/>
            </a:schemeClr>
          </a:solidFill>
        </xdr:grpSpPr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65ED4266-68E3-5222-240D-967A171FE40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271335"/>
            </a:xfrm>
            <a:prstGeom prst="rect">
              <a:avLst/>
            </a:prstGeom>
            <a:grpFill/>
          </xdr:spPr>
        </xdr:pic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9DBC55C7-986A-CFFE-617E-0810C62681C6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0758E74-146F-FF9E-FE0D-A6EEF50053D9}"/>
              </a:ext>
            </a:extLst>
          </xdr:cNvPr>
          <xdr:cNvSpPr/>
        </xdr:nvSpPr>
        <xdr:spPr>
          <a:xfrm>
            <a:off x="759098" y="1514339"/>
            <a:ext cx="574766" cy="313604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15</xdr:col>
      <xdr:colOff>482600</xdr:colOff>
      <xdr:row>12</xdr:row>
      <xdr:rowOff>12700</xdr:rowOff>
    </xdr:from>
    <xdr:to>
      <xdr:col>19</xdr:col>
      <xdr:colOff>12700</xdr:colOff>
      <xdr:row>18</xdr:row>
      <xdr:rowOff>38100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2AC99BE-05FC-9D4D-9BA7-1C476DFF124D}"/>
            </a:ext>
          </a:extLst>
        </xdr:cNvPr>
        <xdr:cNvGrpSpPr/>
      </xdr:nvGrpSpPr>
      <xdr:grpSpPr>
        <a:xfrm>
          <a:off x="8053754" y="6069623"/>
          <a:ext cx="1549074" cy="3053862"/>
          <a:chOff x="7415704" y="5256054"/>
          <a:chExt cx="3196683" cy="3069666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BDD3F249-0BE7-ED32-F491-EAE47E298468}"/>
              </a:ext>
            </a:extLst>
          </xdr:cNvPr>
          <xdr:cNvGrpSpPr/>
        </xdr:nvGrpSpPr>
        <xdr:grpSpPr>
          <a:xfrm>
            <a:off x="7415704" y="5256054"/>
            <a:ext cx="3196683" cy="3069666"/>
            <a:chOff x="5969000" y="3564467"/>
            <a:chExt cx="3067800" cy="959155"/>
          </a:xfrm>
        </xdr:grpSpPr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63F4D9A9-09CF-467C-4FA4-D478ACF7BD9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65C8BDDD-10F7-FF43-CEEA-9229B6C72A43}"/>
                </a:ext>
              </a:extLst>
            </xdr:cNvPr>
            <xdr:cNvSpPr/>
          </xdr:nvSpPr>
          <xdr:spPr>
            <a:xfrm>
              <a:off x="5998517" y="3565021"/>
              <a:ext cx="3038283" cy="95860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8BC4115D-2C83-7D84-A135-137F647DFF39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10</xdr:col>
      <xdr:colOff>260512</xdr:colOff>
      <xdr:row>14</xdr:row>
      <xdr:rowOff>1</xdr:rowOff>
    </xdr:from>
    <xdr:to>
      <xdr:col>11</xdr:col>
      <xdr:colOff>195384</xdr:colOff>
      <xdr:row>14</xdr:row>
      <xdr:rowOff>309360</xdr:rowOff>
    </xdr:to>
    <xdr:sp macro="" textlink="">
      <xdr:nvSpPr>
        <xdr:cNvPr id="33" name="Right Arrow 32">
          <a:extLst>
            <a:ext uri="{FF2B5EF4-FFF2-40B4-BE49-F238E27FC236}">
              <a16:creationId xmlns:a16="http://schemas.microsoft.com/office/drawing/2014/main" id="{BA6DD4A0-D780-984C-85CE-3A232BBC93F7}"/>
            </a:ext>
          </a:extLst>
        </xdr:cNvPr>
        <xdr:cNvSpPr/>
      </xdr:nvSpPr>
      <xdr:spPr>
        <a:xfrm>
          <a:off x="5307948" y="7066411"/>
          <a:ext cx="439615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309359</xdr:colOff>
      <xdr:row>15</xdr:row>
      <xdr:rowOff>130257</xdr:rowOff>
    </xdr:from>
    <xdr:to>
      <xdr:col>12</xdr:col>
      <xdr:colOff>244230</xdr:colOff>
      <xdr:row>15</xdr:row>
      <xdr:rowOff>439616</xdr:rowOff>
    </xdr:to>
    <xdr:sp macro="" textlink="">
      <xdr:nvSpPr>
        <xdr:cNvPr id="42" name="Right Arrow 41">
          <a:extLst>
            <a:ext uri="{FF2B5EF4-FFF2-40B4-BE49-F238E27FC236}">
              <a16:creationId xmlns:a16="http://schemas.microsoft.com/office/drawing/2014/main" id="{46292049-8811-D14E-883C-90BAAB1BCD26}"/>
            </a:ext>
          </a:extLst>
        </xdr:cNvPr>
        <xdr:cNvSpPr/>
      </xdr:nvSpPr>
      <xdr:spPr>
        <a:xfrm>
          <a:off x="5861538" y="7701411"/>
          <a:ext cx="439615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325640</xdr:colOff>
      <xdr:row>14</xdr:row>
      <xdr:rowOff>293077</xdr:rowOff>
    </xdr:from>
    <xdr:to>
      <xdr:col>14</xdr:col>
      <xdr:colOff>260512</xdr:colOff>
      <xdr:row>15</xdr:row>
      <xdr:rowOff>97692</xdr:rowOff>
    </xdr:to>
    <xdr:sp macro="" textlink="">
      <xdr:nvSpPr>
        <xdr:cNvPr id="43" name="Right Arrow 42">
          <a:extLst>
            <a:ext uri="{FF2B5EF4-FFF2-40B4-BE49-F238E27FC236}">
              <a16:creationId xmlns:a16="http://schemas.microsoft.com/office/drawing/2014/main" id="{953C9AD1-442A-704F-A202-75E733F4611C}"/>
            </a:ext>
          </a:extLst>
        </xdr:cNvPr>
        <xdr:cNvSpPr/>
      </xdr:nvSpPr>
      <xdr:spPr>
        <a:xfrm>
          <a:off x="6887307" y="7359487"/>
          <a:ext cx="439615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325641</xdr:colOff>
      <xdr:row>14</xdr:row>
      <xdr:rowOff>341923</xdr:rowOff>
    </xdr:from>
    <xdr:to>
      <xdr:col>16</xdr:col>
      <xdr:colOff>260513</xdr:colOff>
      <xdr:row>15</xdr:row>
      <xdr:rowOff>146538</xdr:rowOff>
    </xdr:to>
    <xdr:sp macro="" textlink="">
      <xdr:nvSpPr>
        <xdr:cNvPr id="44" name="Right Arrow 43">
          <a:extLst>
            <a:ext uri="{FF2B5EF4-FFF2-40B4-BE49-F238E27FC236}">
              <a16:creationId xmlns:a16="http://schemas.microsoft.com/office/drawing/2014/main" id="{C8DFAC06-6DA6-7C4E-8D92-6765D0F36CC9}"/>
            </a:ext>
          </a:extLst>
        </xdr:cNvPr>
        <xdr:cNvSpPr/>
      </xdr:nvSpPr>
      <xdr:spPr>
        <a:xfrm>
          <a:off x="7896795" y="7408333"/>
          <a:ext cx="439615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507999</xdr:colOff>
      <xdr:row>8</xdr:row>
      <xdr:rowOff>12700</xdr:rowOff>
    </xdr:from>
    <xdr:to>
      <xdr:col>9</xdr:col>
      <xdr:colOff>495300</xdr:colOff>
      <xdr:row>10</xdr:row>
      <xdr:rowOff>12700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885DF7C5-DF52-2C47-A42B-932919B03D9C}"/>
            </a:ext>
          </a:extLst>
        </xdr:cNvPr>
        <xdr:cNvGrpSpPr/>
      </xdr:nvGrpSpPr>
      <xdr:grpSpPr>
        <a:xfrm>
          <a:off x="5587999" y="4076700"/>
          <a:ext cx="622301" cy="1016000"/>
          <a:chOff x="3660365" y="19765723"/>
          <a:chExt cx="1168399" cy="1285796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01B28839-0FC3-EBBA-AC6F-C4491EC653EB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A368D380-49A9-2823-462F-66335BCB58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28F78D8-5679-D75A-6CB3-D3F0283D8B3A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CE3E8044-FC52-5474-8363-FA71696C8733}"/>
              </a:ext>
            </a:extLst>
          </xdr:cNvPr>
          <xdr:cNvSpPr/>
        </xdr:nvSpPr>
        <xdr:spPr>
          <a:xfrm>
            <a:off x="3884548" y="19864627"/>
            <a:ext cx="768957" cy="108798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8</xdr:col>
      <xdr:colOff>0</xdr:colOff>
      <xdr:row>7</xdr:row>
      <xdr:rowOff>0</xdr:rowOff>
    </xdr:from>
    <xdr:to>
      <xdr:col>9</xdr:col>
      <xdr:colOff>0</xdr:colOff>
      <xdr:row>11</xdr:row>
      <xdr:rowOff>25400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D2128AE1-08B8-DB42-BF52-24EFCC9D94B4}"/>
            </a:ext>
          </a:extLst>
        </xdr:cNvPr>
        <xdr:cNvGrpSpPr/>
      </xdr:nvGrpSpPr>
      <xdr:grpSpPr>
        <a:xfrm>
          <a:off x="5080000" y="3556000"/>
          <a:ext cx="635000" cy="2057400"/>
          <a:chOff x="7403600" y="19633475"/>
          <a:chExt cx="1431609" cy="2135415"/>
        </a:xfrm>
        <a:solidFill>
          <a:schemeClr val="bg1">
            <a:lumMod val="50000"/>
          </a:schemeClr>
        </a:solidFill>
      </xdr:grpSpPr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A55998C0-1C6A-1D79-ED87-B9E7A4570B23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  <a:grpFill/>
        </xdr:grpSpPr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27C06682-51FE-1C79-0A51-B1D3345096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36299B7B-17B1-FA38-6322-982172AB4746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902BF817-507C-2185-B851-97E0E64CEA2D}"/>
              </a:ext>
            </a:extLst>
          </xdr:cNvPr>
          <xdr:cNvSpPr/>
        </xdr:nvSpPr>
        <xdr:spPr>
          <a:xfrm>
            <a:off x="7727286" y="20094729"/>
            <a:ext cx="793667" cy="1255620"/>
          </a:xfrm>
          <a:prstGeom prst="rect">
            <a:avLst/>
          </a:prstGeom>
          <a:solidFill>
            <a:schemeClr val="tx1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9</xdr:col>
      <xdr:colOff>495300</xdr:colOff>
      <xdr:row>7</xdr:row>
      <xdr:rowOff>101600</xdr:rowOff>
    </xdr:from>
    <xdr:to>
      <xdr:col>12</xdr:col>
      <xdr:colOff>25400</xdr:colOff>
      <xdr:row>10</xdr:row>
      <xdr:rowOff>393700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91A9837B-FB64-4C4B-A5E4-DCAF0C2E6E2F}"/>
            </a:ext>
          </a:extLst>
        </xdr:cNvPr>
        <xdr:cNvGrpSpPr/>
      </xdr:nvGrpSpPr>
      <xdr:grpSpPr>
        <a:xfrm>
          <a:off x="6210300" y="3657600"/>
          <a:ext cx="1435100" cy="1816100"/>
          <a:chOff x="7403600" y="19633475"/>
          <a:chExt cx="1431609" cy="2135415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5E32EA6D-BFAD-9C9B-A33E-0A7E73FC20EB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250635B7-48CD-4845-E676-D9BC6274FA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7CE5964-2E17-000C-5716-E8A3CCD8CEC5}"/>
                </a:ext>
              </a:extLst>
            </xdr:cNvPr>
            <xdr:cNvSpPr/>
          </xdr:nvSpPr>
          <xdr:spPr>
            <a:xfrm>
              <a:off x="6206869" y="1900075"/>
              <a:ext cx="1303065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EB735DBE-F8AE-7827-9639-7709D305C77B}"/>
              </a:ext>
            </a:extLst>
          </xdr:cNvPr>
          <xdr:cNvSpPr/>
        </xdr:nvSpPr>
        <xdr:spPr>
          <a:xfrm>
            <a:off x="7727285" y="20325231"/>
            <a:ext cx="710837" cy="71174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12</xdr:col>
      <xdr:colOff>12701</xdr:colOff>
      <xdr:row>6</xdr:row>
      <xdr:rowOff>495300</xdr:rowOff>
    </xdr:from>
    <xdr:to>
      <xdr:col>14</xdr:col>
      <xdr:colOff>0</xdr:colOff>
      <xdr:row>11</xdr:row>
      <xdr:rowOff>12700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0BC1F34C-2479-0C49-B794-93B7BBE64BD4}"/>
            </a:ext>
          </a:extLst>
        </xdr:cNvPr>
        <xdr:cNvGrpSpPr/>
      </xdr:nvGrpSpPr>
      <xdr:grpSpPr>
        <a:xfrm>
          <a:off x="7632701" y="3543300"/>
          <a:ext cx="1257299" cy="2057400"/>
          <a:chOff x="486956" y="1091837"/>
          <a:chExt cx="1152433" cy="1233671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F23A2B21-C924-B402-3358-B2CD549671A4}"/>
              </a:ext>
            </a:extLst>
          </xdr:cNvPr>
          <xdr:cNvGrpSpPr/>
        </xdr:nvGrpSpPr>
        <xdr:grpSpPr>
          <a:xfrm>
            <a:off x="486956" y="1091837"/>
            <a:ext cx="1152433" cy="1233671"/>
            <a:chOff x="3253006" y="1912346"/>
            <a:chExt cx="1335928" cy="1284690"/>
          </a:xfrm>
          <a:solidFill>
            <a:schemeClr val="accent2">
              <a:lumMod val="75000"/>
            </a:schemeClr>
          </a:solidFill>
        </xdr:grpSpPr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892335DA-E1AA-F6DF-7D6B-21718AFCC3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285067" y="1921933"/>
              <a:ext cx="1303866" cy="1271335"/>
            </a:xfrm>
            <a:prstGeom prst="rect">
              <a:avLst/>
            </a:prstGeom>
            <a:grpFill/>
          </xdr:spPr>
        </xdr:pic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A14B6607-8D5C-E29D-E7C9-0A87FF959971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62658D46-84C0-67CD-330D-06DAF1E0F681}"/>
              </a:ext>
            </a:extLst>
          </xdr:cNvPr>
          <xdr:cNvSpPr/>
        </xdr:nvSpPr>
        <xdr:spPr>
          <a:xfrm>
            <a:off x="759098" y="1514339"/>
            <a:ext cx="574766" cy="313604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13</xdr:col>
      <xdr:colOff>482600</xdr:colOff>
      <xdr:row>6</xdr:row>
      <xdr:rowOff>12700</xdr:rowOff>
    </xdr:from>
    <xdr:to>
      <xdr:col>17</xdr:col>
      <xdr:colOff>12700</xdr:colOff>
      <xdr:row>12</xdr:row>
      <xdr:rowOff>38100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C48FBF0C-9BBB-9C4B-8880-B2181245A0CF}"/>
            </a:ext>
          </a:extLst>
        </xdr:cNvPr>
        <xdr:cNvGrpSpPr/>
      </xdr:nvGrpSpPr>
      <xdr:grpSpPr>
        <a:xfrm>
          <a:off x="8737600" y="3060700"/>
          <a:ext cx="2070100" cy="3073400"/>
          <a:chOff x="7415704" y="5256054"/>
          <a:chExt cx="3196683" cy="3069666"/>
        </a:xfrm>
      </xdr:grpSpPr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0A1EBC38-5A00-7A75-9926-D2B9B752A51D}"/>
              </a:ext>
            </a:extLst>
          </xdr:cNvPr>
          <xdr:cNvGrpSpPr/>
        </xdr:nvGrpSpPr>
        <xdr:grpSpPr>
          <a:xfrm>
            <a:off x="7415704" y="5256054"/>
            <a:ext cx="3196683" cy="3069666"/>
            <a:chOff x="5969000" y="3564467"/>
            <a:chExt cx="3067800" cy="959155"/>
          </a:xfrm>
        </xdr:grpSpPr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EAF6DD16-6A9F-F7CA-312B-9B32D20C7D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27671FAF-A35C-067E-4BE0-67D4DAF556E5}"/>
                </a:ext>
              </a:extLst>
            </xdr:cNvPr>
            <xdr:cNvSpPr/>
          </xdr:nvSpPr>
          <xdr:spPr>
            <a:xfrm>
              <a:off x="5998517" y="3565021"/>
              <a:ext cx="3038283" cy="95860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0E829D34-5C4B-1898-492B-B48B4540C307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8</xdr:col>
      <xdr:colOff>260512</xdr:colOff>
      <xdr:row>8</xdr:row>
      <xdr:rowOff>1</xdr:rowOff>
    </xdr:from>
    <xdr:to>
      <xdr:col>9</xdr:col>
      <xdr:colOff>195384</xdr:colOff>
      <xdr:row>8</xdr:row>
      <xdr:rowOff>309360</xdr:rowOff>
    </xdr:to>
    <xdr:sp macro="" textlink="">
      <xdr:nvSpPr>
        <xdr:cNvPr id="62" name="Right Arrow 61">
          <a:extLst>
            <a:ext uri="{FF2B5EF4-FFF2-40B4-BE49-F238E27FC236}">
              <a16:creationId xmlns:a16="http://schemas.microsoft.com/office/drawing/2014/main" id="{95BE95FE-6C5B-2947-921B-A6744B440D29}"/>
            </a:ext>
          </a:extLst>
        </xdr:cNvPr>
        <xdr:cNvSpPr/>
      </xdr:nvSpPr>
      <xdr:spPr>
        <a:xfrm>
          <a:off x="5340512" y="7112001"/>
          <a:ext cx="442872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309359</xdr:colOff>
      <xdr:row>9</xdr:row>
      <xdr:rowOff>130257</xdr:rowOff>
    </xdr:from>
    <xdr:to>
      <xdr:col>10</xdr:col>
      <xdr:colOff>244230</xdr:colOff>
      <xdr:row>9</xdr:row>
      <xdr:rowOff>439616</xdr:rowOff>
    </xdr:to>
    <xdr:sp macro="" textlink="">
      <xdr:nvSpPr>
        <xdr:cNvPr id="63" name="Right Arrow 62">
          <a:extLst>
            <a:ext uri="{FF2B5EF4-FFF2-40B4-BE49-F238E27FC236}">
              <a16:creationId xmlns:a16="http://schemas.microsoft.com/office/drawing/2014/main" id="{7E921587-2B83-5E41-95EF-4A61F5835E1F}"/>
            </a:ext>
          </a:extLst>
        </xdr:cNvPr>
        <xdr:cNvSpPr/>
      </xdr:nvSpPr>
      <xdr:spPr>
        <a:xfrm>
          <a:off x="5897359" y="7750257"/>
          <a:ext cx="442871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325640</xdr:colOff>
      <xdr:row>8</xdr:row>
      <xdr:rowOff>293077</xdr:rowOff>
    </xdr:from>
    <xdr:to>
      <xdr:col>12</xdr:col>
      <xdr:colOff>260512</xdr:colOff>
      <xdr:row>9</xdr:row>
      <xdr:rowOff>97692</xdr:rowOff>
    </xdr:to>
    <xdr:sp macro="" textlink="">
      <xdr:nvSpPr>
        <xdr:cNvPr id="64" name="Right Arrow 63">
          <a:extLst>
            <a:ext uri="{FF2B5EF4-FFF2-40B4-BE49-F238E27FC236}">
              <a16:creationId xmlns:a16="http://schemas.microsoft.com/office/drawing/2014/main" id="{E38D0F2D-EECE-D842-81BA-0D262D934F5D}"/>
            </a:ext>
          </a:extLst>
        </xdr:cNvPr>
        <xdr:cNvSpPr/>
      </xdr:nvSpPr>
      <xdr:spPr>
        <a:xfrm>
          <a:off x="6929640" y="7405077"/>
          <a:ext cx="442872" cy="31261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325641</xdr:colOff>
      <xdr:row>8</xdr:row>
      <xdr:rowOff>341923</xdr:rowOff>
    </xdr:from>
    <xdr:to>
      <xdr:col>14</xdr:col>
      <xdr:colOff>260513</xdr:colOff>
      <xdr:row>9</xdr:row>
      <xdr:rowOff>146538</xdr:rowOff>
    </xdr:to>
    <xdr:sp macro="" textlink="">
      <xdr:nvSpPr>
        <xdr:cNvPr id="65" name="Right Arrow 64">
          <a:extLst>
            <a:ext uri="{FF2B5EF4-FFF2-40B4-BE49-F238E27FC236}">
              <a16:creationId xmlns:a16="http://schemas.microsoft.com/office/drawing/2014/main" id="{03B70082-BEDC-9E46-A21A-709D55CDDF38}"/>
            </a:ext>
          </a:extLst>
        </xdr:cNvPr>
        <xdr:cNvSpPr/>
      </xdr:nvSpPr>
      <xdr:spPr>
        <a:xfrm>
          <a:off x="7945641" y="7453923"/>
          <a:ext cx="442872" cy="31261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BAF0-78F0-6F4B-BA14-C26D135F90AF}">
  <dimension ref="C1:AB16"/>
  <sheetViews>
    <sheetView showGridLines="0" topLeftCell="B1" zoomScale="140" zoomScaleNormal="140" workbookViewId="0">
      <selection activeCell="D4" sqref="D4:P16"/>
    </sheetView>
  </sheetViews>
  <sheetFormatPr baseColWidth="10" defaultColWidth="6" defaultRowHeight="25" customHeight="1" x14ac:dyDescent="0.2"/>
  <cols>
    <col min="20" max="21" width="6" style="6"/>
    <col min="22" max="22" width="19" style="6" bestFit="1" customWidth="1"/>
    <col min="23" max="23" width="9" style="6" bestFit="1" customWidth="1"/>
    <col min="24" max="24" width="7.5" style="6" bestFit="1" customWidth="1"/>
    <col min="25" max="25" width="12.1640625" style="6" bestFit="1" customWidth="1"/>
    <col min="26" max="28" width="6" style="6"/>
  </cols>
  <sheetData>
    <row r="1" spans="3:28" ht="27" customHeight="1" x14ac:dyDescent="0.2"/>
    <row r="3" spans="3:28" ht="25" customHeight="1" x14ac:dyDescent="0.2">
      <c r="C3" s="1"/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</row>
    <row r="4" spans="3:28" ht="25" customHeight="1" x14ac:dyDescent="0.2">
      <c r="C4" s="1" t="s">
        <v>0</v>
      </c>
      <c r="D4" s="31"/>
      <c r="E4" s="31"/>
      <c r="F4" s="32">
        <v>11153.8461538462</v>
      </c>
      <c r="G4" s="31"/>
      <c r="H4" s="31"/>
      <c r="I4" s="31"/>
      <c r="J4" s="31"/>
      <c r="K4" s="31"/>
      <c r="L4" s="31"/>
      <c r="M4" s="31"/>
      <c r="N4" s="31"/>
      <c r="O4" s="31"/>
      <c r="P4" s="31"/>
      <c r="T4" s="7"/>
      <c r="U4" s="8"/>
      <c r="V4" s="8"/>
      <c r="W4" s="9" t="s">
        <v>13</v>
      </c>
      <c r="X4" s="8">
        <f>SUM(D4:P16)</f>
        <v>44615.384615384799</v>
      </c>
      <c r="Y4" s="8"/>
      <c r="Z4" s="8"/>
      <c r="AA4" s="8"/>
      <c r="AB4" s="8"/>
    </row>
    <row r="5" spans="3:28" ht="25" customHeight="1" x14ac:dyDescent="0.2">
      <c r="C5" s="1" t="s">
        <v>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T5" s="8"/>
      <c r="U5" s="8"/>
      <c r="V5" s="8"/>
      <c r="W5" s="8"/>
      <c r="X5" s="8"/>
      <c r="Y5" s="9" t="s">
        <v>14</v>
      </c>
      <c r="Z5" s="9" t="s">
        <v>15</v>
      </c>
      <c r="AA5" s="8"/>
      <c r="AB5" s="8"/>
    </row>
    <row r="6" spans="3:28" ht="25" customHeight="1" x14ac:dyDescent="0.2">
      <c r="C6" s="1" t="s">
        <v>2</v>
      </c>
      <c r="D6" s="31"/>
      <c r="E6" s="31"/>
      <c r="F6" s="31"/>
      <c r="G6" s="32">
        <v>11153.8461538462</v>
      </c>
      <c r="H6" s="31"/>
      <c r="I6" s="31"/>
      <c r="J6" s="31"/>
      <c r="K6" s="31"/>
      <c r="L6" s="31"/>
      <c r="M6" s="31"/>
      <c r="N6" s="31"/>
      <c r="O6" s="31"/>
      <c r="P6" s="31"/>
      <c r="T6" s="10" t="s">
        <v>41</v>
      </c>
      <c r="U6" s="10"/>
      <c r="V6" s="10" t="s">
        <v>17</v>
      </c>
      <c r="W6" s="10"/>
      <c r="X6" s="10">
        <f>F4</f>
        <v>11153.8461538462</v>
      </c>
      <c r="Y6" s="11">
        <f>X6/$X$4</f>
        <v>0.25</v>
      </c>
      <c r="Z6" s="12">
        <f>Y6</f>
        <v>0.25</v>
      </c>
      <c r="AA6" s="4"/>
      <c r="AB6" s="5"/>
    </row>
    <row r="7" spans="3:28" ht="25" customHeight="1" x14ac:dyDescent="0.2">
      <c r="C7" s="1" t="s">
        <v>3</v>
      </c>
      <c r="D7" s="31"/>
      <c r="E7" s="31"/>
      <c r="F7" s="31"/>
      <c r="G7" s="31"/>
      <c r="H7" s="31"/>
      <c r="I7" s="31"/>
      <c r="J7" s="31"/>
      <c r="K7" s="32">
        <v>11153.8461538462</v>
      </c>
      <c r="L7" s="31"/>
      <c r="M7" s="31"/>
      <c r="N7" s="31"/>
      <c r="O7" s="31"/>
      <c r="P7" s="31"/>
      <c r="T7" s="10" t="s">
        <v>16</v>
      </c>
      <c r="U7" s="10"/>
      <c r="V7" s="10" t="s">
        <v>17</v>
      </c>
      <c r="W7" s="10"/>
      <c r="X7" s="10">
        <f>G6</f>
        <v>11153.8461538462</v>
      </c>
      <c r="Y7" s="11">
        <f t="shared" ref="Y7:Y9" si="0">X7/$X$4</f>
        <v>0.25</v>
      </c>
      <c r="Z7" s="11">
        <f>Y7+Z6</f>
        <v>0.5</v>
      </c>
      <c r="AA7" s="4"/>
      <c r="AB7" s="5"/>
    </row>
    <row r="8" spans="3:28" ht="25" customHeight="1" x14ac:dyDescent="0.2">
      <c r="C8" s="1" t="s">
        <v>4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T8" s="10" t="s">
        <v>42</v>
      </c>
      <c r="U8" s="10"/>
      <c r="V8" s="10" t="s">
        <v>17</v>
      </c>
      <c r="W8" s="10"/>
      <c r="X8" s="10">
        <f>K7</f>
        <v>11153.8461538462</v>
      </c>
      <c r="Y8" s="11">
        <f t="shared" si="0"/>
        <v>0.25</v>
      </c>
      <c r="Z8" s="11">
        <f>Y8+Z7</f>
        <v>0.75</v>
      </c>
      <c r="AA8" s="4"/>
      <c r="AB8" s="5"/>
    </row>
    <row r="9" spans="3:28" ht="25" customHeight="1" x14ac:dyDescent="0.2">
      <c r="C9" s="1" t="s">
        <v>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T9" s="10" t="s">
        <v>43</v>
      </c>
      <c r="U9" s="10"/>
      <c r="V9" s="10" t="s">
        <v>17</v>
      </c>
      <c r="W9" s="10"/>
      <c r="X9" s="10">
        <f>M11</f>
        <v>11153.8461538462</v>
      </c>
      <c r="Y9" s="11">
        <f t="shared" si="0"/>
        <v>0.25</v>
      </c>
      <c r="Z9" s="11">
        <f>Y9+Z8</f>
        <v>1</v>
      </c>
      <c r="AA9" s="4"/>
      <c r="AB9" s="5"/>
    </row>
    <row r="10" spans="3:28" ht="25" customHeight="1" x14ac:dyDescent="0.2">
      <c r="C10" s="1" t="s">
        <v>6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T10"/>
      <c r="U10"/>
      <c r="V10"/>
      <c r="W10"/>
      <c r="X10"/>
      <c r="Y10"/>
      <c r="Z10"/>
      <c r="AA10"/>
      <c r="AB10"/>
    </row>
    <row r="11" spans="3:28" ht="25" customHeight="1" x14ac:dyDescent="0.2">
      <c r="C11" s="1" t="s">
        <v>7</v>
      </c>
      <c r="D11" s="31"/>
      <c r="E11" s="31"/>
      <c r="F11" s="31"/>
      <c r="G11" s="31"/>
      <c r="H11" s="31"/>
      <c r="I11" s="31"/>
      <c r="J11" s="31"/>
      <c r="K11" s="31"/>
      <c r="L11" s="31"/>
      <c r="M11" s="32">
        <v>11153.8461538462</v>
      </c>
      <c r="N11" s="31"/>
      <c r="O11" s="31"/>
      <c r="P11" s="31"/>
      <c r="T11"/>
      <c r="U11"/>
      <c r="V11"/>
      <c r="W11"/>
      <c r="X11"/>
      <c r="Y11"/>
      <c r="Z11"/>
      <c r="AA11"/>
      <c r="AB11"/>
    </row>
    <row r="12" spans="3:28" ht="25" customHeight="1" x14ac:dyDescent="0.2">
      <c r="C12" s="1" t="s">
        <v>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3:28" ht="25" customHeight="1" x14ac:dyDescent="0.2">
      <c r="C13" s="1" t="s">
        <v>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3:28" ht="25" customHeight="1" x14ac:dyDescent="0.2">
      <c r="C14" s="1" t="s">
        <v>10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spans="3:28" ht="25" customHeight="1" x14ac:dyDescent="0.2">
      <c r="C15" s="1" t="s">
        <v>11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spans="3:28" ht="25" customHeight="1" x14ac:dyDescent="0.2">
      <c r="C16" s="1" t="s">
        <v>12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0013-D7CD-BA40-B1E7-F0FA2D18A6E1}">
  <dimension ref="B8:M16"/>
  <sheetViews>
    <sheetView showGridLines="0" workbookViewId="0">
      <selection activeCell="I16" sqref="I16"/>
    </sheetView>
  </sheetViews>
  <sheetFormatPr baseColWidth="10" defaultRowHeight="16" x14ac:dyDescent="0.2"/>
  <cols>
    <col min="10" max="10" width="14" bestFit="1" customWidth="1"/>
  </cols>
  <sheetData>
    <row r="8" spans="2:13" x14ac:dyDescent="0.2">
      <c r="B8" s="2" t="s">
        <v>27</v>
      </c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 t="s">
        <v>28</v>
      </c>
    </row>
    <row r="9" spans="2:13" x14ac:dyDescent="0.2"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/>
      <c r="I9" s="2"/>
      <c r="J9" s="2">
        <v>23</v>
      </c>
    </row>
    <row r="11" spans="2:13" ht="56" x14ac:dyDescent="0.2">
      <c r="B11" s="13" t="s">
        <v>18</v>
      </c>
      <c r="C11" s="13" t="s">
        <v>19</v>
      </c>
      <c r="D11" s="13" t="s">
        <v>20</v>
      </c>
      <c r="E11" s="13"/>
      <c r="F11" s="14" t="s">
        <v>21</v>
      </c>
      <c r="G11" s="14" t="s">
        <v>22</v>
      </c>
      <c r="H11" s="13" t="s">
        <v>23</v>
      </c>
      <c r="I11" s="13" t="s">
        <v>24</v>
      </c>
      <c r="J11" s="13" t="s">
        <v>51</v>
      </c>
      <c r="K11" s="13" t="s">
        <v>52</v>
      </c>
      <c r="M11" s="17"/>
    </row>
    <row r="12" spans="2:13" x14ac:dyDescent="0.2">
      <c r="B12" s="13" t="s">
        <v>0</v>
      </c>
      <c r="C12" s="15">
        <v>4</v>
      </c>
      <c r="D12" s="15">
        <v>0.97699999999999998</v>
      </c>
      <c r="E12" s="15" t="s">
        <v>26</v>
      </c>
      <c r="F12" s="16">
        <f>14*14</f>
        <v>196</v>
      </c>
      <c r="G12" s="30">
        <f t="shared" ref="G12:G16" si="0">F12*C12</f>
        <v>784</v>
      </c>
      <c r="H12" s="17">
        <f>G12/I12</f>
        <v>56</v>
      </c>
      <c r="I12" s="17">
        <v>14</v>
      </c>
      <c r="J12" s="41">
        <f>H12/14</f>
        <v>4</v>
      </c>
      <c r="K12" s="41">
        <f>I12/14</f>
        <v>1</v>
      </c>
      <c r="M12" s="17"/>
    </row>
    <row r="13" spans="2:13" x14ac:dyDescent="0.2">
      <c r="B13" s="13" t="s">
        <v>2</v>
      </c>
      <c r="C13" s="15">
        <v>2</v>
      </c>
      <c r="D13" s="15">
        <v>0.9728</v>
      </c>
      <c r="E13" s="15" t="s">
        <v>26</v>
      </c>
      <c r="F13" s="16">
        <f t="shared" ref="F13:F14" si="1">14*14</f>
        <v>196</v>
      </c>
      <c r="G13" s="30">
        <f t="shared" si="0"/>
        <v>392</v>
      </c>
      <c r="H13" s="17">
        <f t="shared" ref="H13:H16" si="2">G13/I13</f>
        <v>28</v>
      </c>
      <c r="I13" s="17">
        <v>14</v>
      </c>
      <c r="J13" s="41">
        <f t="shared" ref="J13:K16" si="3">H13/14</f>
        <v>2</v>
      </c>
      <c r="K13" s="41">
        <f t="shared" si="3"/>
        <v>1</v>
      </c>
      <c r="M13" s="17"/>
    </row>
    <row r="14" spans="2:13" x14ac:dyDescent="0.2">
      <c r="B14" s="13" t="s">
        <v>3</v>
      </c>
      <c r="C14" s="15">
        <v>7</v>
      </c>
      <c r="D14" s="15">
        <v>0.95960000000000001</v>
      </c>
      <c r="E14" s="15" t="s">
        <v>26</v>
      </c>
      <c r="F14" s="16">
        <f t="shared" si="1"/>
        <v>196</v>
      </c>
      <c r="G14" s="33">
        <f t="shared" si="0"/>
        <v>1372</v>
      </c>
      <c r="H14" s="17">
        <f t="shared" si="2"/>
        <v>49</v>
      </c>
      <c r="I14" s="17">
        <v>28</v>
      </c>
      <c r="J14" s="41">
        <f t="shared" si="3"/>
        <v>3.5</v>
      </c>
      <c r="K14" s="41">
        <f t="shared" si="3"/>
        <v>2</v>
      </c>
      <c r="M14" s="17"/>
    </row>
    <row r="15" spans="2:13" x14ac:dyDescent="0.2">
      <c r="B15" s="13" t="s">
        <v>7</v>
      </c>
      <c r="C15" s="15">
        <v>3</v>
      </c>
      <c r="D15" s="15">
        <v>0.98070000000000002</v>
      </c>
      <c r="E15" s="15" t="s">
        <v>25</v>
      </c>
      <c r="F15" s="16">
        <f>14*36</f>
        <v>504</v>
      </c>
      <c r="G15" s="33">
        <f t="shared" si="0"/>
        <v>1512</v>
      </c>
      <c r="H15" s="17">
        <f t="shared" si="2"/>
        <v>54</v>
      </c>
      <c r="I15" s="17">
        <v>28</v>
      </c>
      <c r="J15" s="41">
        <f t="shared" si="3"/>
        <v>3.8571428571428572</v>
      </c>
      <c r="K15" s="41">
        <f t="shared" si="3"/>
        <v>2</v>
      </c>
      <c r="M15" s="17"/>
    </row>
    <row r="16" spans="2:13" x14ac:dyDescent="0.2">
      <c r="B16" s="13" t="s">
        <v>9</v>
      </c>
      <c r="C16" s="15">
        <v>7</v>
      </c>
      <c r="D16" s="15">
        <v>0.94820000000000004</v>
      </c>
      <c r="E16" s="15" t="s">
        <v>25</v>
      </c>
      <c r="F16" s="16">
        <f>14*36</f>
        <v>504</v>
      </c>
      <c r="G16" s="30">
        <f t="shared" si="0"/>
        <v>3528</v>
      </c>
      <c r="H16" s="17">
        <f t="shared" si="2"/>
        <v>84</v>
      </c>
      <c r="I16" s="17">
        <f>14*3</f>
        <v>42</v>
      </c>
      <c r="J16" s="41">
        <f t="shared" si="3"/>
        <v>6</v>
      </c>
      <c r="K16" s="41">
        <f t="shared" si="3"/>
        <v>3</v>
      </c>
    </row>
  </sheetData>
  <conditionalFormatting sqref="G12:G16">
    <cfRule type="colorScale" priority="12">
      <colorScale>
        <cfvo type="min"/>
        <cfvo type="percentile" val="50"/>
        <cfvo type="max"/>
        <color rgb="FFFF0000"/>
        <color rgb="FFFFFF00"/>
        <color theme="6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E834-EB31-CB4D-ACDF-AD9FE171AD54}">
  <dimension ref="E1:V22"/>
  <sheetViews>
    <sheetView showGridLines="0" tabSelected="1" topLeftCell="B4" zoomScaleNormal="100" workbookViewId="0">
      <selection activeCell="O17" sqref="O17"/>
    </sheetView>
  </sheetViews>
  <sheetFormatPr baseColWidth="10" defaultColWidth="8.33203125" defaultRowHeight="40" customHeight="1" x14ac:dyDescent="0.2"/>
  <sheetData>
    <row r="1" spans="5:22" ht="40" customHeight="1" x14ac:dyDescent="0.2">
      <c r="S1" s="7" t="s">
        <v>31</v>
      </c>
      <c r="T1" s="7" t="s">
        <v>29</v>
      </c>
    </row>
    <row r="3" spans="5:22" ht="40" customHeight="1" x14ac:dyDescent="0.2"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>
        <v>1</v>
      </c>
      <c r="R3" s="6">
        <v>2</v>
      </c>
    </row>
    <row r="4" spans="5:22" ht="40" customHeight="1" x14ac:dyDescent="0.2"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5:22" ht="40" customHeight="1" x14ac:dyDescent="0.2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5:22" ht="40" customHeight="1" x14ac:dyDescent="0.2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5:22" ht="40" customHeight="1" x14ac:dyDescent="0.2"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5:22" ht="40" customHeight="1" x14ac:dyDescent="0.2">
      <c r="E8" s="6"/>
      <c r="F8" s="6"/>
      <c r="G8" s="6"/>
      <c r="H8" s="6"/>
      <c r="I8" s="6"/>
      <c r="J8" s="6"/>
      <c r="M8" s="6"/>
      <c r="N8" s="6"/>
      <c r="O8" s="6"/>
      <c r="P8" s="6"/>
      <c r="Q8" s="6"/>
      <c r="R8" s="6"/>
    </row>
    <row r="9" spans="5:22" ht="40" customHeight="1" x14ac:dyDescent="0.2">
      <c r="E9" s="6"/>
      <c r="F9" s="6"/>
      <c r="G9" s="6"/>
      <c r="H9" s="6"/>
      <c r="I9" s="6"/>
      <c r="J9" s="42"/>
      <c r="K9" s="6"/>
      <c r="L9" s="6"/>
      <c r="M9" s="6"/>
      <c r="N9" s="6"/>
      <c r="O9" s="6"/>
      <c r="P9" s="6"/>
      <c r="Q9" s="6"/>
      <c r="R9" s="6"/>
    </row>
    <row r="10" spans="5:22" ht="40" customHeight="1" x14ac:dyDescent="0.2">
      <c r="E10" s="6"/>
      <c r="F10" s="6"/>
      <c r="G10" s="42">
        <v>1</v>
      </c>
      <c r="H10" s="6"/>
      <c r="I10" s="42">
        <v>1</v>
      </c>
      <c r="J10" s="42"/>
      <c r="K10" s="42">
        <v>1</v>
      </c>
      <c r="L10" s="42">
        <v>2</v>
      </c>
      <c r="M10" s="6"/>
      <c r="N10" s="6">
        <v>1</v>
      </c>
      <c r="O10" s="6">
        <v>2</v>
      </c>
      <c r="P10" s="6"/>
      <c r="Q10" s="42">
        <v>1</v>
      </c>
      <c r="R10" s="42">
        <v>2</v>
      </c>
      <c r="S10" s="42">
        <v>3</v>
      </c>
    </row>
    <row r="11" spans="5:22" ht="40" customHeight="1" x14ac:dyDescent="0.2">
      <c r="E11" s="6"/>
      <c r="F11" s="6">
        <v>1</v>
      </c>
      <c r="G11" s="6"/>
      <c r="H11" s="6"/>
      <c r="I11" s="6"/>
      <c r="J11" s="42">
        <v>1</v>
      </c>
      <c r="K11" s="6"/>
      <c r="L11" s="6"/>
      <c r="M11" s="42">
        <v>1</v>
      </c>
      <c r="N11" s="6"/>
      <c r="O11" s="6"/>
      <c r="P11" s="42">
        <v>1</v>
      </c>
      <c r="Q11" s="6"/>
      <c r="R11" s="6"/>
    </row>
    <row r="12" spans="5:22" ht="40" customHeight="1" x14ac:dyDescent="0.2">
      <c r="E12" s="6"/>
      <c r="F12" s="6">
        <v>2</v>
      </c>
      <c r="G12" s="6"/>
      <c r="H12" s="6">
        <v>1</v>
      </c>
      <c r="I12" s="6"/>
      <c r="J12" s="42">
        <v>2</v>
      </c>
      <c r="K12" s="6"/>
      <c r="L12" s="6"/>
      <c r="M12" s="42">
        <v>2</v>
      </c>
      <c r="N12" s="6"/>
      <c r="O12" s="6"/>
      <c r="P12" s="42">
        <v>2</v>
      </c>
      <c r="Q12" s="6"/>
      <c r="R12" s="6"/>
      <c r="V12" s="6"/>
    </row>
    <row r="13" spans="5:22" ht="40" customHeight="1" x14ac:dyDescent="0.2">
      <c r="E13" s="6"/>
      <c r="F13" s="6">
        <v>3</v>
      </c>
      <c r="G13" s="6"/>
      <c r="H13" s="6">
        <v>2</v>
      </c>
      <c r="I13" s="6"/>
      <c r="J13" s="42">
        <v>3</v>
      </c>
      <c r="K13" s="6"/>
      <c r="L13" s="6"/>
      <c r="M13" s="42">
        <v>3</v>
      </c>
      <c r="N13" s="6"/>
      <c r="O13" s="6"/>
      <c r="P13" s="42">
        <v>3</v>
      </c>
      <c r="Q13" s="6"/>
      <c r="R13" s="6"/>
    </row>
    <row r="14" spans="5:22" ht="40" customHeight="1" x14ac:dyDescent="0.2">
      <c r="E14" s="6"/>
      <c r="F14" s="6">
        <v>4</v>
      </c>
      <c r="G14" s="6"/>
      <c r="H14" s="6"/>
      <c r="I14" s="6"/>
      <c r="J14" s="42">
        <v>4</v>
      </c>
      <c r="K14" s="6"/>
      <c r="L14" s="6"/>
      <c r="M14" s="42">
        <v>4</v>
      </c>
      <c r="N14" s="6"/>
      <c r="O14" s="6"/>
      <c r="P14" s="42">
        <v>4</v>
      </c>
      <c r="Q14" s="6"/>
      <c r="R14" s="6"/>
    </row>
    <row r="15" spans="5:22" ht="40" customHeight="1" x14ac:dyDescent="0.2">
      <c r="E15" s="6"/>
      <c r="F15" s="6"/>
      <c r="G15" s="6"/>
      <c r="H15" s="6"/>
      <c r="I15" s="6"/>
      <c r="J15" s="42"/>
      <c r="K15" s="6"/>
      <c r="L15" s="6"/>
      <c r="M15" s="6"/>
      <c r="N15" s="6"/>
      <c r="O15" s="6"/>
      <c r="P15" s="42">
        <v>5</v>
      </c>
      <c r="Q15" s="6"/>
      <c r="R15" s="6"/>
    </row>
    <row r="16" spans="5:22" ht="40" customHeight="1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42">
        <v>6</v>
      </c>
      <c r="Q16" s="6"/>
      <c r="R16" s="6"/>
    </row>
    <row r="17" spans="5:18" ht="40" customHeight="1" x14ac:dyDescent="0.2"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5:18" ht="40" customHeight="1" x14ac:dyDescent="0.2"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5:18" ht="40" customHeight="1" x14ac:dyDescent="0.2"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5:18" ht="40" customHeight="1" x14ac:dyDescent="0.2"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5:18" ht="40" customHeight="1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5:18" ht="40" customHeight="1" x14ac:dyDescent="0.2"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9E5D-A5C4-844A-8D16-BBDC60EA7EDD}">
  <dimension ref="F2:W37"/>
  <sheetViews>
    <sheetView showGridLines="0" topLeftCell="B2" zoomScaleNormal="100" workbookViewId="0">
      <selection activeCell="I7" sqref="I7:S14"/>
    </sheetView>
  </sheetViews>
  <sheetFormatPr baseColWidth="10" defaultColWidth="6.6640625" defaultRowHeight="40" customHeight="1" x14ac:dyDescent="0.2"/>
  <cols>
    <col min="1" max="16384" width="6.6640625" style="42"/>
  </cols>
  <sheetData>
    <row r="2" spans="6:23" ht="40" customHeight="1" x14ac:dyDescent="0.2">
      <c r="L2" s="44" t="s">
        <v>30</v>
      </c>
      <c r="M2" s="44" t="s">
        <v>40</v>
      </c>
    </row>
    <row r="3" spans="6:23" ht="40" customHeight="1" x14ac:dyDescent="0.2">
      <c r="I3" s="43"/>
      <c r="J3" s="43"/>
      <c r="K3" s="43"/>
      <c r="L3" s="43"/>
      <c r="M3" s="43"/>
    </row>
    <row r="4" spans="6:23" ht="40" customHeight="1" x14ac:dyDescent="0.2">
      <c r="I4" s="43"/>
      <c r="J4" s="43"/>
      <c r="K4" s="43"/>
      <c r="L4" s="43"/>
      <c r="M4" s="43"/>
      <c r="N4" s="43"/>
      <c r="O4" s="43"/>
    </row>
    <row r="5" spans="6:23" ht="40" customHeight="1" x14ac:dyDescent="0.2">
      <c r="I5" s="43"/>
      <c r="J5" s="43"/>
      <c r="K5" s="43"/>
      <c r="L5" s="43"/>
      <c r="M5" s="43"/>
      <c r="N5" s="43"/>
      <c r="O5" s="43"/>
    </row>
    <row r="6" spans="6:23" ht="40" customHeight="1" x14ac:dyDescent="0.2">
      <c r="F6" s="45"/>
      <c r="I6" s="43"/>
      <c r="J6" s="43"/>
      <c r="K6" s="43"/>
      <c r="L6" s="43"/>
      <c r="M6" s="43"/>
      <c r="N6" s="43"/>
      <c r="O6" s="43"/>
    </row>
    <row r="7" spans="6:23" ht="40" customHeight="1" x14ac:dyDescent="0.2">
      <c r="F7" s="46"/>
      <c r="I7" s="43"/>
      <c r="J7" s="42">
        <v>1</v>
      </c>
      <c r="K7" s="42">
        <v>2</v>
      </c>
      <c r="L7" s="42">
        <v>3</v>
      </c>
      <c r="M7" s="42">
        <v>4</v>
      </c>
      <c r="N7" s="42">
        <v>5</v>
      </c>
      <c r="O7" s="42">
        <v>6</v>
      </c>
      <c r="P7" s="42">
        <v>7</v>
      </c>
      <c r="Q7" s="42">
        <v>8</v>
      </c>
      <c r="R7" s="42">
        <v>9</v>
      </c>
    </row>
    <row r="8" spans="6:23" ht="40" customHeight="1" x14ac:dyDescent="0.2">
      <c r="F8" s="46"/>
      <c r="I8" s="42">
        <v>1</v>
      </c>
      <c r="N8" s="43"/>
      <c r="O8" s="43"/>
    </row>
    <row r="9" spans="6:23" ht="40" customHeight="1" x14ac:dyDescent="0.2">
      <c r="F9" s="46"/>
      <c r="I9" s="42">
        <v>2</v>
      </c>
      <c r="J9" s="43"/>
      <c r="K9" s="43"/>
      <c r="L9" s="43"/>
      <c r="M9" s="43"/>
      <c r="N9" s="43"/>
      <c r="O9" s="43"/>
      <c r="P9" s="43"/>
      <c r="Q9" s="43"/>
    </row>
    <row r="10" spans="6:23" ht="40" customHeight="1" x14ac:dyDescent="0.2">
      <c r="F10" s="46"/>
      <c r="I10" s="42">
        <v>3</v>
      </c>
      <c r="J10" s="43"/>
      <c r="K10" s="43"/>
      <c r="L10" s="43"/>
      <c r="M10" s="43"/>
      <c r="N10" s="43"/>
      <c r="O10" s="43"/>
      <c r="P10" s="43"/>
      <c r="Q10" s="43"/>
    </row>
    <row r="11" spans="6:23" ht="40" customHeight="1" x14ac:dyDescent="0.2">
      <c r="F11" s="46"/>
      <c r="I11" s="42">
        <v>4</v>
      </c>
      <c r="J11" s="43"/>
      <c r="K11" s="43"/>
      <c r="L11" s="43"/>
      <c r="M11" s="43"/>
      <c r="N11" s="43"/>
      <c r="O11" s="43"/>
      <c r="P11" s="43"/>
      <c r="Q11" s="43"/>
    </row>
    <row r="12" spans="6:23" ht="40" customHeight="1" x14ac:dyDescent="0.2">
      <c r="F12" s="46"/>
      <c r="I12" s="42">
        <v>5</v>
      </c>
      <c r="J12" s="43"/>
      <c r="K12" s="43"/>
      <c r="L12" s="43"/>
      <c r="M12" s="43"/>
      <c r="N12" s="43"/>
      <c r="O12" s="43"/>
      <c r="P12" s="43"/>
      <c r="Q12" s="43"/>
    </row>
    <row r="13" spans="6:23" ht="40" customHeight="1" x14ac:dyDescent="0.2">
      <c r="F13" s="46"/>
      <c r="I13" s="42">
        <v>6</v>
      </c>
      <c r="J13" s="43"/>
      <c r="K13" s="43"/>
      <c r="L13" s="43"/>
      <c r="M13" s="43"/>
      <c r="N13" s="43"/>
      <c r="O13" s="43"/>
      <c r="P13" s="43"/>
      <c r="Q13" s="43"/>
    </row>
    <row r="14" spans="6:23" ht="40" customHeight="1" x14ac:dyDescent="0.2">
      <c r="F14" s="46"/>
      <c r="I14" s="43"/>
      <c r="J14" s="43"/>
      <c r="K14" s="43"/>
      <c r="L14" s="43"/>
      <c r="M14" s="43"/>
      <c r="N14" s="43"/>
      <c r="O14" s="43"/>
      <c r="P14" s="43"/>
      <c r="Q14" s="43"/>
    </row>
    <row r="15" spans="6:23" ht="40" customHeight="1" x14ac:dyDescent="0.2">
      <c r="F15" s="46"/>
      <c r="I15" s="43"/>
      <c r="J15" s="43"/>
      <c r="K15" s="43"/>
      <c r="L15" s="43"/>
      <c r="M15" s="43"/>
      <c r="N15" s="43"/>
      <c r="O15" s="43"/>
    </row>
    <row r="16" spans="6:23" ht="40" customHeight="1" x14ac:dyDescent="0.2">
      <c r="F16" s="46"/>
      <c r="I16" s="43"/>
      <c r="J16" s="43"/>
      <c r="K16" s="43"/>
      <c r="L16" s="43"/>
      <c r="M16" s="43"/>
      <c r="N16" s="43"/>
      <c r="O16" s="43"/>
      <c r="T16" s="43"/>
      <c r="W16" s="42">
        <v>1</v>
      </c>
    </row>
    <row r="17" spans="6:15" ht="40" customHeight="1" x14ac:dyDescent="0.2">
      <c r="F17" s="46"/>
      <c r="I17" s="43"/>
      <c r="J17" s="43"/>
      <c r="K17" s="43"/>
      <c r="L17" s="43"/>
      <c r="M17" s="43"/>
      <c r="N17" s="43"/>
      <c r="O17" s="43"/>
    </row>
    <row r="18" spans="6:15" ht="40" customHeight="1" x14ac:dyDescent="0.2">
      <c r="F18" s="46"/>
      <c r="I18" s="43"/>
      <c r="J18" s="43"/>
      <c r="K18" s="43"/>
      <c r="L18" s="43"/>
      <c r="M18" s="43"/>
      <c r="N18" s="43"/>
      <c r="O18" s="43"/>
    </row>
    <row r="19" spans="6:15" ht="40" customHeight="1" x14ac:dyDescent="0.2">
      <c r="F19" s="46"/>
      <c r="I19" s="43"/>
      <c r="J19" s="43"/>
      <c r="K19" s="43"/>
      <c r="L19" s="43"/>
      <c r="M19" s="43"/>
      <c r="N19" s="43"/>
      <c r="O19" s="43"/>
    </row>
    <row r="20" spans="6:15" ht="40" customHeight="1" x14ac:dyDescent="0.2">
      <c r="F20" s="46"/>
      <c r="I20" s="43"/>
      <c r="J20" s="43"/>
      <c r="K20" s="43"/>
      <c r="L20" s="43"/>
      <c r="M20" s="43"/>
      <c r="N20" s="43"/>
      <c r="O20" s="43"/>
    </row>
    <row r="21" spans="6:15" ht="40" customHeight="1" x14ac:dyDescent="0.2">
      <c r="F21" s="46"/>
      <c r="I21" s="43"/>
      <c r="J21" s="43"/>
      <c r="K21" s="43"/>
      <c r="L21" s="43"/>
      <c r="M21" s="43"/>
      <c r="N21" s="43"/>
      <c r="O21" s="43"/>
    </row>
    <row r="22" spans="6:15" ht="40" customHeight="1" x14ac:dyDescent="0.2">
      <c r="F22" s="46"/>
      <c r="I22" s="43"/>
      <c r="J22" s="43"/>
      <c r="K22" s="43"/>
      <c r="L22" s="43"/>
      <c r="M22" s="43"/>
      <c r="N22" s="43"/>
      <c r="O22" s="43"/>
    </row>
    <row r="23" spans="6:15" ht="40" customHeight="1" x14ac:dyDescent="0.2">
      <c r="F23" s="46"/>
      <c r="I23" s="43"/>
      <c r="J23" s="43"/>
      <c r="K23" s="43"/>
      <c r="L23" s="43"/>
      <c r="M23" s="43"/>
      <c r="N23" s="43"/>
      <c r="O23" s="43"/>
    </row>
    <row r="24" spans="6:15" ht="40" customHeight="1" x14ac:dyDescent="0.2">
      <c r="F24" s="46"/>
    </row>
    <row r="25" spans="6:15" ht="40" customHeight="1" x14ac:dyDescent="0.2">
      <c r="F25" s="46"/>
    </row>
    <row r="26" spans="6:15" ht="40" customHeight="1" x14ac:dyDescent="0.2">
      <c r="F26" s="46"/>
    </row>
    <row r="27" spans="6:15" ht="40" customHeight="1" x14ac:dyDescent="0.2">
      <c r="F27" s="46"/>
    </row>
    <row r="28" spans="6:15" ht="40" customHeight="1" x14ac:dyDescent="0.2">
      <c r="F28" s="46"/>
    </row>
    <row r="29" spans="6:15" ht="40" customHeight="1" x14ac:dyDescent="0.2">
      <c r="F29" s="46"/>
    </row>
    <row r="30" spans="6:15" ht="40" customHeight="1" x14ac:dyDescent="0.2">
      <c r="F30" s="46"/>
    </row>
    <row r="31" spans="6:15" ht="40" customHeight="1" x14ac:dyDescent="0.2">
      <c r="F31" s="46"/>
    </row>
    <row r="32" spans="6:15" ht="40" customHeight="1" x14ac:dyDescent="0.2">
      <c r="F32" s="46"/>
    </row>
    <row r="33" spans="6:6" ht="40" customHeight="1" x14ac:dyDescent="0.2">
      <c r="F33" s="46"/>
    </row>
    <row r="34" spans="6:6" ht="40" customHeight="1" x14ac:dyDescent="0.2">
      <c r="F34" s="46"/>
    </row>
    <row r="35" spans="6:6" ht="40" customHeight="1" x14ac:dyDescent="0.2">
      <c r="F35" s="46"/>
    </row>
    <row r="36" spans="6:6" ht="40" customHeight="1" x14ac:dyDescent="0.2">
      <c r="F36" s="46"/>
    </row>
    <row r="37" spans="6:6" ht="40" customHeight="1" x14ac:dyDescent="0.2">
      <c r="F37" s="4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741C-EE96-854F-A41C-096F594BFE6B}">
  <dimension ref="E3:BN37"/>
  <sheetViews>
    <sheetView showGridLines="0" topLeftCell="A7" zoomScale="78" zoomScaleNormal="78" workbookViewId="0">
      <selection activeCell="J12" sqref="J12:T19"/>
    </sheetView>
  </sheetViews>
  <sheetFormatPr baseColWidth="10" defaultColWidth="6.6640625" defaultRowHeight="40" customHeight="1" x14ac:dyDescent="0.2"/>
  <cols>
    <col min="42" max="42" width="7.83203125" bestFit="1" customWidth="1"/>
  </cols>
  <sheetData>
    <row r="3" spans="5:66" ht="40" customHeight="1" x14ac:dyDescent="0.2">
      <c r="L3" t="s">
        <v>30</v>
      </c>
      <c r="M3" t="s">
        <v>40</v>
      </c>
    </row>
    <row r="6" spans="5:66" ht="40" customHeight="1" x14ac:dyDescent="0.2">
      <c r="F6" s="18"/>
    </row>
    <row r="7" spans="5:66" ht="40" customHeight="1" x14ac:dyDescent="0.2">
      <c r="F7" s="19"/>
      <c r="N7" s="6"/>
      <c r="O7" s="6"/>
      <c r="P7" s="6"/>
      <c r="Q7" s="6"/>
      <c r="R7" s="6"/>
      <c r="S7" s="6"/>
    </row>
    <row r="8" spans="5:66" ht="40" customHeight="1" x14ac:dyDescent="0.2">
      <c r="F8" s="1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W8" s="23" t="s">
        <v>34</v>
      </c>
      <c r="X8" s="24"/>
      <c r="Y8" s="24"/>
      <c r="Z8" s="24"/>
      <c r="AA8" s="24"/>
      <c r="AB8" s="24"/>
      <c r="AC8" s="24"/>
      <c r="AD8" s="19"/>
      <c r="AE8" s="19"/>
      <c r="AF8" s="19"/>
      <c r="AG8" s="19"/>
      <c r="AH8" s="19"/>
      <c r="AI8" s="19"/>
      <c r="AJ8" s="19"/>
      <c r="AK8" s="19"/>
      <c r="AL8" s="23" t="s">
        <v>35</v>
      </c>
      <c r="AM8" s="24"/>
      <c r="AN8" s="24"/>
      <c r="AO8" s="24"/>
      <c r="AP8" s="24"/>
      <c r="AQ8" s="24"/>
      <c r="AR8" s="24"/>
      <c r="AS8" s="19"/>
      <c r="AT8" s="19"/>
      <c r="AU8" s="19"/>
      <c r="AV8" s="19"/>
      <c r="AW8" s="19"/>
      <c r="AX8" s="19"/>
      <c r="AY8" s="19"/>
      <c r="AZ8" s="19"/>
      <c r="BA8" s="18" t="s">
        <v>36</v>
      </c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</row>
    <row r="9" spans="5:66" ht="40" customHeight="1" x14ac:dyDescent="0.2">
      <c r="F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W9" s="34"/>
      <c r="X9" s="35" t="s">
        <v>0</v>
      </c>
      <c r="Y9" s="35" t="s">
        <v>1</v>
      </c>
      <c r="Z9" s="35" t="s">
        <v>2</v>
      </c>
      <c r="AA9" s="35" t="s">
        <v>3</v>
      </c>
      <c r="AB9" s="35" t="s">
        <v>4</v>
      </c>
      <c r="AC9" s="35" t="s">
        <v>5</v>
      </c>
      <c r="AD9" s="35" t="s">
        <v>6</v>
      </c>
      <c r="AE9" s="35" t="s">
        <v>7</v>
      </c>
      <c r="AF9" s="35" t="s">
        <v>8</v>
      </c>
      <c r="AG9" s="35" t="s">
        <v>9</v>
      </c>
      <c r="AH9" s="35" t="s">
        <v>10</v>
      </c>
      <c r="AI9" s="35" t="s">
        <v>11</v>
      </c>
      <c r="AJ9" s="35" t="s">
        <v>12</v>
      </c>
      <c r="AK9" s="39"/>
      <c r="AL9" s="34"/>
      <c r="AM9" s="35" t="s">
        <v>0</v>
      </c>
      <c r="AN9" s="35" t="s">
        <v>1</v>
      </c>
      <c r="AO9" s="35" t="s">
        <v>2</v>
      </c>
      <c r="AP9" s="35" t="s">
        <v>3</v>
      </c>
      <c r="AQ9" s="35" t="s">
        <v>4</v>
      </c>
      <c r="AR9" s="35" t="s">
        <v>5</v>
      </c>
      <c r="AS9" s="35" t="s">
        <v>6</v>
      </c>
      <c r="AT9" s="35" t="s">
        <v>7</v>
      </c>
      <c r="AU9" s="35" t="s">
        <v>8</v>
      </c>
      <c r="AV9" s="35" t="s">
        <v>9</v>
      </c>
      <c r="AW9" s="35" t="s">
        <v>10</v>
      </c>
      <c r="AX9" s="35" t="s">
        <v>11</v>
      </c>
      <c r="AY9" s="35" t="s">
        <v>12</v>
      </c>
      <c r="AZ9" s="19"/>
      <c r="BA9" s="25"/>
      <c r="BB9" s="26" t="s">
        <v>0</v>
      </c>
      <c r="BC9" s="26" t="s">
        <v>1</v>
      </c>
      <c r="BD9" s="26" t="s">
        <v>2</v>
      </c>
      <c r="BE9" s="26" t="s">
        <v>3</v>
      </c>
      <c r="BF9" s="26" t="s">
        <v>4</v>
      </c>
      <c r="BG9" s="26" t="s">
        <v>5</v>
      </c>
      <c r="BH9" s="26" t="s">
        <v>6</v>
      </c>
      <c r="BI9" s="26" t="s">
        <v>7</v>
      </c>
      <c r="BJ9" s="26" t="s">
        <v>8</v>
      </c>
      <c r="BK9" s="26" t="s">
        <v>9</v>
      </c>
      <c r="BL9" s="26" t="s">
        <v>10</v>
      </c>
      <c r="BM9" s="26" t="s">
        <v>11</v>
      </c>
      <c r="BN9" s="26" t="s">
        <v>12</v>
      </c>
    </row>
    <row r="10" spans="5:66" ht="40" customHeight="1" x14ac:dyDescent="0.2">
      <c r="E10" s="21"/>
      <c r="F10" s="22" t="s">
        <v>32</v>
      </c>
      <c r="G10" s="22" t="s">
        <v>33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W10" s="36" t="s">
        <v>0</v>
      </c>
      <c r="X10" s="37"/>
      <c r="Y10" s="37"/>
      <c r="Z10" s="38">
        <v>14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9"/>
      <c r="AL10" s="36" t="s">
        <v>0</v>
      </c>
      <c r="AM10" s="37"/>
      <c r="AN10" s="37"/>
      <c r="AO10" s="38">
        <v>0</v>
      </c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19"/>
      <c r="BA10" s="27" t="s">
        <v>0</v>
      </c>
      <c r="BB10" s="28" t="str">
        <f>IF(SQRT(X10^2+AM10^2)=0,"",SQRT(X10^2+AM10^2))</f>
        <v/>
      </c>
      <c r="BC10" s="28" t="str">
        <f t="shared" ref="BC10:BN22" si="0">IF(SQRT(Y10^2+AN10^2)=0,"",SQRT(Y10^2+AN10^2))</f>
        <v/>
      </c>
      <c r="BD10" s="28">
        <f t="shared" si="0"/>
        <v>14</v>
      </c>
      <c r="BE10" s="28" t="str">
        <f t="shared" si="0"/>
        <v/>
      </c>
      <c r="BF10" s="28" t="str">
        <f t="shared" si="0"/>
        <v/>
      </c>
      <c r="BG10" s="28" t="str">
        <f t="shared" si="0"/>
        <v/>
      </c>
      <c r="BH10" s="28" t="str">
        <f t="shared" si="0"/>
        <v/>
      </c>
      <c r="BI10" s="28" t="str">
        <f t="shared" si="0"/>
        <v/>
      </c>
      <c r="BJ10" s="28" t="str">
        <f t="shared" si="0"/>
        <v/>
      </c>
      <c r="BK10" s="28" t="str">
        <f t="shared" si="0"/>
        <v/>
      </c>
      <c r="BL10" s="28" t="str">
        <f t="shared" si="0"/>
        <v/>
      </c>
      <c r="BM10" s="28" t="str">
        <f t="shared" si="0"/>
        <v/>
      </c>
      <c r="BN10" s="28" t="str">
        <f t="shared" si="0"/>
        <v/>
      </c>
    </row>
    <row r="11" spans="5:66" ht="40" customHeight="1" x14ac:dyDescent="0.2">
      <c r="E11" s="22" t="s">
        <v>0</v>
      </c>
      <c r="F11" s="20">
        <v>0.5</v>
      </c>
      <c r="G11" s="20">
        <v>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W11" s="36" t="s">
        <v>1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9"/>
      <c r="AL11" s="36" t="s">
        <v>1</v>
      </c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19"/>
      <c r="BA11" s="27" t="s">
        <v>1</v>
      </c>
      <c r="BB11" s="28" t="str">
        <f>IF(SQRT(X11^2+AM11^2)=0,"",SQRT(X11^2+AM11^2))</f>
        <v/>
      </c>
      <c r="BC11" s="28" t="str">
        <f t="shared" si="0"/>
        <v/>
      </c>
      <c r="BD11" s="28" t="str">
        <f t="shared" si="0"/>
        <v/>
      </c>
      <c r="BE11" s="28" t="str">
        <f t="shared" si="0"/>
        <v/>
      </c>
      <c r="BF11" s="28" t="str">
        <f t="shared" si="0"/>
        <v/>
      </c>
      <c r="BG11" s="28" t="str">
        <f t="shared" si="0"/>
        <v/>
      </c>
      <c r="BH11" s="28" t="str">
        <f t="shared" si="0"/>
        <v/>
      </c>
      <c r="BI11" s="28" t="str">
        <f t="shared" si="0"/>
        <v/>
      </c>
      <c r="BJ11" s="28" t="str">
        <f t="shared" si="0"/>
        <v/>
      </c>
      <c r="BK11" s="28" t="str">
        <f t="shared" si="0"/>
        <v/>
      </c>
      <c r="BL11" s="28" t="str">
        <f t="shared" si="0"/>
        <v/>
      </c>
      <c r="BM11" s="28" t="str">
        <f t="shared" si="0"/>
        <v/>
      </c>
      <c r="BN11" s="28" t="str">
        <f t="shared" si="0"/>
        <v/>
      </c>
    </row>
    <row r="12" spans="5:66" ht="40" customHeight="1" x14ac:dyDescent="0.2">
      <c r="E12" s="22" t="s">
        <v>2</v>
      </c>
      <c r="F12" s="20">
        <v>1.5</v>
      </c>
      <c r="G12" s="20">
        <v>3</v>
      </c>
      <c r="I12" s="6"/>
      <c r="J12" s="43"/>
      <c r="K12" s="42">
        <v>1</v>
      </c>
      <c r="L12" s="42">
        <v>2</v>
      </c>
      <c r="M12" s="42">
        <v>3</v>
      </c>
      <c r="N12" s="42">
        <v>4</v>
      </c>
      <c r="O12" s="42">
        <v>5</v>
      </c>
      <c r="P12" s="42">
        <v>6</v>
      </c>
      <c r="Q12" s="42">
        <v>7</v>
      </c>
      <c r="R12" s="42">
        <v>8</v>
      </c>
      <c r="S12" s="42">
        <v>9</v>
      </c>
      <c r="T12" s="42"/>
      <c r="U12" s="6"/>
      <c r="W12" s="36" t="s">
        <v>2</v>
      </c>
      <c r="X12" s="37"/>
      <c r="Y12" s="37"/>
      <c r="Z12" s="37"/>
      <c r="AA12" s="38">
        <v>14</v>
      </c>
      <c r="AB12" s="37"/>
      <c r="AC12" s="37"/>
      <c r="AD12" s="37"/>
      <c r="AE12" s="37"/>
      <c r="AF12" s="37"/>
      <c r="AG12" s="37"/>
      <c r="AH12" s="37"/>
      <c r="AI12" s="37"/>
      <c r="AJ12" s="37"/>
      <c r="AK12" s="39"/>
      <c r="AL12" s="36" t="s">
        <v>2</v>
      </c>
      <c r="AM12" s="37"/>
      <c r="AN12" s="37"/>
      <c r="AO12" s="37"/>
      <c r="AP12" s="38">
        <v>0</v>
      </c>
      <c r="AQ12" s="37"/>
      <c r="AR12" s="37"/>
      <c r="AS12" s="37"/>
      <c r="AT12" s="37"/>
      <c r="AU12" s="37"/>
      <c r="AV12" s="37"/>
      <c r="AW12" s="37"/>
      <c r="AX12" s="37"/>
      <c r="AY12" s="37"/>
      <c r="AZ12" s="19"/>
      <c r="BA12" s="27" t="s">
        <v>2</v>
      </c>
      <c r="BB12" s="28" t="str">
        <f t="shared" ref="BB12:BB22" si="1">IF(SQRT(X12^2+AM12^2)=0,"",SQRT(X12^2+AM12^2))</f>
        <v/>
      </c>
      <c r="BC12" s="28" t="str">
        <f t="shared" si="0"/>
        <v/>
      </c>
      <c r="BD12" s="28" t="str">
        <f t="shared" si="0"/>
        <v/>
      </c>
      <c r="BE12" s="28">
        <f t="shared" si="0"/>
        <v>14</v>
      </c>
      <c r="BF12" s="28" t="str">
        <f t="shared" si="0"/>
        <v/>
      </c>
      <c r="BG12" s="28" t="str">
        <f t="shared" si="0"/>
        <v/>
      </c>
      <c r="BH12" s="28" t="str">
        <f t="shared" si="0"/>
        <v/>
      </c>
      <c r="BI12" s="28" t="str">
        <f t="shared" si="0"/>
        <v/>
      </c>
      <c r="BJ12" s="28" t="str">
        <f t="shared" si="0"/>
        <v/>
      </c>
      <c r="BK12" s="28" t="str">
        <f t="shared" si="0"/>
        <v/>
      </c>
      <c r="BL12" s="28" t="str">
        <f t="shared" si="0"/>
        <v/>
      </c>
      <c r="BM12" s="28" t="str">
        <f t="shared" si="0"/>
        <v/>
      </c>
      <c r="BN12" s="28" t="str">
        <f t="shared" si="0"/>
        <v/>
      </c>
    </row>
    <row r="13" spans="5:66" ht="40" customHeight="1" x14ac:dyDescent="0.2">
      <c r="E13" s="22" t="s">
        <v>3</v>
      </c>
      <c r="F13" s="20">
        <v>3</v>
      </c>
      <c r="G13" s="20">
        <v>3</v>
      </c>
      <c r="I13" s="6"/>
      <c r="J13" s="42">
        <v>1</v>
      </c>
      <c r="K13" s="42"/>
      <c r="L13" s="42"/>
      <c r="M13" s="42"/>
      <c r="N13" s="42"/>
      <c r="O13" s="43"/>
      <c r="P13" s="43"/>
      <c r="Q13" s="42"/>
      <c r="R13" s="42"/>
      <c r="S13" s="42"/>
      <c r="T13" s="42"/>
      <c r="U13" s="6"/>
      <c r="W13" s="36" t="s">
        <v>3</v>
      </c>
      <c r="X13" s="37"/>
      <c r="Y13" s="37"/>
      <c r="Z13" s="37"/>
      <c r="AA13" s="37"/>
      <c r="AB13" s="37"/>
      <c r="AC13" s="37"/>
      <c r="AD13" s="37"/>
      <c r="AE13" s="38">
        <v>14</v>
      </c>
      <c r="AF13" s="37"/>
      <c r="AG13" s="37"/>
      <c r="AH13" s="37"/>
      <c r="AI13" s="37"/>
      <c r="AJ13" s="37"/>
      <c r="AK13" s="39"/>
      <c r="AL13" s="36" t="s">
        <v>3</v>
      </c>
      <c r="AM13" s="37"/>
      <c r="AN13" s="37"/>
      <c r="AO13" s="37"/>
      <c r="AP13" s="37"/>
      <c r="AQ13" s="37"/>
      <c r="AR13" s="37"/>
      <c r="AS13" s="37"/>
      <c r="AT13" s="38">
        <v>0</v>
      </c>
      <c r="AU13" s="37"/>
      <c r="AV13" s="37"/>
      <c r="AW13" s="37"/>
      <c r="AX13" s="37"/>
      <c r="AY13" s="37"/>
      <c r="AZ13" s="19"/>
      <c r="BA13" s="27" t="s">
        <v>3</v>
      </c>
      <c r="BB13" s="28" t="str">
        <f t="shared" si="1"/>
        <v/>
      </c>
      <c r="BC13" s="28" t="str">
        <f t="shared" si="0"/>
        <v/>
      </c>
      <c r="BD13" s="28" t="str">
        <f t="shared" si="0"/>
        <v/>
      </c>
      <c r="BE13" s="28" t="str">
        <f t="shared" si="0"/>
        <v/>
      </c>
      <c r="BF13" s="28" t="str">
        <f t="shared" si="0"/>
        <v/>
      </c>
      <c r="BG13" s="28" t="str">
        <f t="shared" si="0"/>
        <v/>
      </c>
      <c r="BH13" s="28" t="str">
        <f t="shared" si="0"/>
        <v/>
      </c>
      <c r="BI13" s="28">
        <f t="shared" si="0"/>
        <v>14</v>
      </c>
      <c r="BJ13" s="28" t="str">
        <f t="shared" si="0"/>
        <v/>
      </c>
      <c r="BK13" s="28" t="str">
        <f t="shared" si="0"/>
        <v/>
      </c>
      <c r="BL13" s="28" t="str">
        <f t="shared" si="0"/>
        <v/>
      </c>
      <c r="BM13" s="28" t="str">
        <f t="shared" si="0"/>
        <v/>
      </c>
      <c r="BN13" s="28" t="str">
        <f t="shared" si="0"/>
        <v/>
      </c>
    </row>
    <row r="14" spans="5:66" ht="40" customHeight="1" x14ac:dyDescent="0.2">
      <c r="E14" s="22" t="s">
        <v>7</v>
      </c>
      <c r="F14" s="20">
        <v>5</v>
      </c>
      <c r="G14" s="20">
        <v>3</v>
      </c>
      <c r="I14" s="6"/>
      <c r="J14" s="42">
        <v>2</v>
      </c>
      <c r="K14" s="43"/>
      <c r="L14" s="43"/>
      <c r="M14" s="43"/>
      <c r="N14" s="43"/>
      <c r="O14" s="43"/>
      <c r="P14" s="43"/>
      <c r="Q14" s="43"/>
      <c r="R14" s="43"/>
      <c r="S14" s="42"/>
      <c r="T14" s="42"/>
      <c r="U14" s="6"/>
      <c r="W14" s="36" t="s">
        <v>4</v>
      </c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9"/>
      <c r="AL14" s="36" t="s">
        <v>4</v>
      </c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19"/>
      <c r="BA14" s="27" t="s">
        <v>4</v>
      </c>
      <c r="BB14" s="28" t="str">
        <f t="shared" si="1"/>
        <v/>
      </c>
      <c r="BC14" s="28" t="str">
        <f t="shared" si="0"/>
        <v/>
      </c>
      <c r="BD14" s="28" t="str">
        <f t="shared" si="0"/>
        <v/>
      </c>
      <c r="BE14" s="28" t="str">
        <f t="shared" si="0"/>
        <v/>
      </c>
      <c r="BF14" s="28" t="str">
        <f t="shared" si="0"/>
        <v/>
      </c>
      <c r="BG14" s="28" t="str">
        <f t="shared" si="0"/>
        <v/>
      </c>
      <c r="BH14" s="28" t="str">
        <f t="shared" si="0"/>
        <v/>
      </c>
      <c r="BI14" s="28" t="str">
        <f t="shared" si="0"/>
        <v/>
      </c>
      <c r="BJ14" s="28" t="str">
        <f t="shared" si="0"/>
        <v/>
      </c>
      <c r="BK14" s="28" t="str">
        <f t="shared" si="0"/>
        <v/>
      </c>
      <c r="BL14" s="28" t="str">
        <f t="shared" si="0"/>
        <v/>
      </c>
      <c r="BM14" s="28" t="str">
        <f t="shared" si="0"/>
        <v/>
      </c>
      <c r="BN14" s="28" t="str">
        <f t="shared" si="0"/>
        <v/>
      </c>
    </row>
    <row r="15" spans="5:66" ht="40" customHeight="1" x14ac:dyDescent="0.2">
      <c r="E15" s="22" t="s">
        <v>9</v>
      </c>
      <c r="F15" s="20">
        <v>7.5</v>
      </c>
      <c r="G15" s="20">
        <v>3</v>
      </c>
      <c r="I15" s="6"/>
      <c r="J15" s="42">
        <v>3</v>
      </c>
      <c r="K15" s="43"/>
      <c r="L15" s="43"/>
      <c r="M15" s="43"/>
      <c r="N15" s="43"/>
      <c r="O15" s="43"/>
      <c r="P15" s="43"/>
      <c r="Q15" s="43"/>
      <c r="R15" s="43"/>
      <c r="S15" s="42"/>
      <c r="T15" s="42"/>
      <c r="U15" s="6"/>
      <c r="W15" s="36" t="s">
        <v>5</v>
      </c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9"/>
      <c r="AL15" s="36" t="s">
        <v>5</v>
      </c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19"/>
      <c r="BA15" s="27" t="s">
        <v>5</v>
      </c>
      <c r="BB15" s="28" t="str">
        <f t="shared" si="1"/>
        <v/>
      </c>
      <c r="BC15" s="28" t="str">
        <f t="shared" si="0"/>
        <v/>
      </c>
      <c r="BD15" s="28" t="str">
        <f t="shared" si="0"/>
        <v/>
      </c>
      <c r="BE15" s="28" t="str">
        <f t="shared" si="0"/>
        <v/>
      </c>
      <c r="BF15" s="28" t="str">
        <f t="shared" si="0"/>
        <v/>
      </c>
      <c r="BG15" s="28" t="str">
        <f t="shared" si="0"/>
        <v/>
      </c>
      <c r="BH15" s="28" t="str">
        <f t="shared" si="0"/>
        <v/>
      </c>
      <c r="BI15" s="28" t="str">
        <f t="shared" si="0"/>
        <v/>
      </c>
      <c r="BJ15" s="28" t="str">
        <f t="shared" si="0"/>
        <v/>
      </c>
      <c r="BK15" s="28" t="str">
        <f t="shared" si="0"/>
        <v/>
      </c>
      <c r="BL15" s="28" t="str">
        <f t="shared" si="0"/>
        <v/>
      </c>
      <c r="BM15" s="28" t="str">
        <f t="shared" si="0"/>
        <v/>
      </c>
      <c r="BN15" s="28" t="str">
        <f t="shared" si="0"/>
        <v/>
      </c>
    </row>
    <row r="16" spans="5:66" ht="40" customHeight="1" x14ac:dyDescent="0.2">
      <c r="F16" s="19"/>
      <c r="I16" s="6"/>
      <c r="J16" s="42">
        <v>4</v>
      </c>
      <c r="K16" s="43"/>
      <c r="L16" s="43"/>
      <c r="M16" s="43"/>
      <c r="N16" s="43"/>
      <c r="O16" s="43"/>
      <c r="P16" s="43"/>
      <c r="Q16" s="43"/>
      <c r="R16" s="43"/>
      <c r="S16" s="42"/>
      <c r="T16" s="42"/>
      <c r="U16" s="6"/>
      <c r="W16" s="36" t="s">
        <v>6</v>
      </c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9"/>
      <c r="AL16" s="36" t="s">
        <v>6</v>
      </c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19"/>
      <c r="BA16" s="27" t="s">
        <v>6</v>
      </c>
      <c r="BB16" s="28" t="str">
        <f t="shared" si="1"/>
        <v/>
      </c>
      <c r="BC16" s="28" t="str">
        <f t="shared" si="0"/>
        <v/>
      </c>
      <c r="BD16" s="28" t="str">
        <f t="shared" si="0"/>
        <v/>
      </c>
      <c r="BE16" s="28" t="str">
        <f t="shared" si="0"/>
        <v/>
      </c>
      <c r="BF16" s="28" t="str">
        <f t="shared" si="0"/>
        <v/>
      </c>
      <c r="BG16" s="28" t="str">
        <f t="shared" si="0"/>
        <v/>
      </c>
      <c r="BH16" s="28" t="str">
        <f t="shared" si="0"/>
        <v/>
      </c>
      <c r="BI16" s="28" t="str">
        <f t="shared" si="0"/>
        <v/>
      </c>
      <c r="BJ16" s="28" t="str">
        <f t="shared" si="0"/>
        <v/>
      </c>
      <c r="BK16" s="28" t="str">
        <f t="shared" si="0"/>
        <v/>
      </c>
      <c r="BL16" s="28" t="str">
        <f t="shared" si="0"/>
        <v/>
      </c>
      <c r="BM16" s="28" t="str">
        <f t="shared" si="0"/>
        <v/>
      </c>
      <c r="BN16" s="28" t="str">
        <f t="shared" si="0"/>
        <v/>
      </c>
    </row>
    <row r="17" spans="6:66" ht="40" customHeight="1" x14ac:dyDescent="0.2">
      <c r="F17" s="19"/>
      <c r="I17" s="6"/>
      <c r="J17" s="42">
        <v>5</v>
      </c>
      <c r="K17" s="43"/>
      <c r="L17" s="43"/>
      <c r="M17" s="43"/>
      <c r="N17" s="43"/>
      <c r="O17" s="43"/>
      <c r="P17" s="43"/>
      <c r="Q17" s="43"/>
      <c r="R17" s="43"/>
      <c r="S17" s="42"/>
      <c r="T17" s="42"/>
      <c r="U17" s="6"/>
      <c r="W17" s="36" t="s">
        <v>7</v>
      </c>
      <c r="X17" s="37"/>
      <c r="Y17" s="37"/>
      <c r="Z17" s="37"/>
      <c r="AA17" s="37"/>
      <c r="AB17" s="37"/>
      <c r="AC17" s="37"/>
      <c r="AD17" s="37"/>
      <c r="AE17" s="37"/>
      <c r="AF17" s="37"/>
      <c r="AG17" s="38">
        <v>28</v>
      </c>
      <c r="AH17" s="37"/>
      <c r="AI17" s="37"/>
      <c r="AJ17" s="37"/>
      <c r="AK17" s="39"/>
      <c r="AL17" s="36" t="s">
        <v>7</v>
      </c>
      <c r="AM17" s="37"/>
      <c r="AN17" s="37"/>
      <c r="AO17" s="37"/>
      <c r="AP17" s="37"/>
      <c r="AQ17" s="37"/>
      <c r="AR17" s="37"/>
      <c r="AS17" s="37"/>
      <c r="AT17" s="37"/>
      <c r="AU17" s="37"/>
      <c r="AV17" s="38">
        <v>0</v>
      </c>
      <c r="AW17" s="37"/>
      <c r="AX17" s="37"/>
      <c r="AY17" s="37"/>
      <c r="AZ17" s="19"/>
      <c r="BA17" s="27" t="s">
        <v>7</v>
      </c>
      <c r="BB17" s="28" t="str">
        <f t="shared" si="1"/>
        <v/>
      </c>
      <c r="BC17" s="28" t="str">
        <f t="shared" si="0"/>
        <v/>
      </c>
      <c r="BD17" s="28" t="str">
        <f t="shared" si="0"/>
        <v/>
      </c>
      <c r="BE17" s="28" t="str">
        <f t="shared" si="0"/>
        <v/>
      </c>
      <c r="BF17" s="28" t="str">
        <f t="shared" si="0"/>
        <v/>
      </c>
      <c r="BG17" s="28" t="str">
        <f t="shared" si="0"/>
        <v/>
      </c>
      <c r="BH17" s="28" t="str">
        <f t="shared" si="0"/>
        <v/>
      </c>
      <c r="BI17" s="28" t="str">
        <f t="shared" si="0"/>
        <v/>
      </c>
      <c r="BJ17" s="28" t="str">
        <f t="shared" si="0"/>
        <v/>
      </c>
      <c r="BK17" s="28">
        <f t="shared" si="0"/>
        <v>28</v>
      </c>
      <c r="BL17" s="28" t="str">
        <f t="shared" si="0"/>
        <v/>
      </c>
      <c r="BM17" s="28" t="str">
        <f t="shared" si="0"/>
        <v/>
      </c>
      <c r="BN17" s="28" t="str">
        <f t="shared" si="0"/>
        <v/>
      </c>
    </row>
    <row r="18" spans="6:66" ht="40" customHeight="1" x14ac:dyDescent="0.2">
      <c r="F18" s="19"/>
      <c r="I18" s="6"/>
      <c r="J18" s="42">
        <v>6</v>
      </c>
      <c r="K18" s="43"/>
      <c r="L18" s="43"/>
      <c r="M18" s="43"/>
      <c r="N18" s="43"/>
      <c r="O18" s="43"/>
      <c r="P18" s="43"/>
      <c r="Q18" s="43"/>
      <c r="R18" s="43"/>
      <c r="S18" s="42"/>
      <c r="T18" s="42"/>
      <c r="U18" s="6"/>
      <c r="W18" s="36" t="s">
        <v>8</v>
      </c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9"/>
      <c r="AL18" s="36" t="s">
        <v>8</v>
      </c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19"/>
      <c r="BA18" s="27" t="s">
        <v>8</v>
      </c>
      <c r="BB18" s="28" t="str">
        <f t="shared" si="1"/>
        <v/>
      </c>
      <c r="BC18" s="28" t="str">
        <f t="shared" si="0"/>
        <v/>
      </c>
      <c r="BD18" s="28" t="str">
        <f t="shared" si="0"/>
        <v/>
      </c>
      <c r="BE18" s="28" t="str">
        <f t="shared" si="0"/>
        <v/>
      </c>
      <c r="BF18" s="28" t="str">
        <f t="shared" si="0"/>
        <v/>
      </c>
      <c r="BG18" s="28" t="str">
        <f t="shared" si="0"/>
        <v/>
      </c>
      <c r="BH18" s="28" t="str">
        <f t="shared" si="0"/>
        <v/>
      </c>
      <c r="BI18" s="28" t="str">
        <f t="shared" si="0"/>
        <v/>
      </c>
      <c r="BJ18" s="28" t="str">
        <f t="shared" si="0"/>
        <v/>
      </c>
      <c r="BK18" s="28" t="str">
        <f t="shared" si="0"/>
        <v/>
      </c>
      <c r="BL18" s="28" t="str">
        <f t="shared" si="0"/>
        <v/>
      </c>
      <c r="BM18" s="28" t="str">
        <f t="shared" si="0"/>
        <v/>
      </c>
      <c r="BN18" s="28" t="str">
        <f t="shared" si="0"/>
        <v/>
      </c>
    </row>
    <row r="19" spans="6:66" ht="40" customHeight="1" x14ac:dyDescent="0.2">
      <c r="F19" s="19"/>
      <c r="I19" s="6"/>
      <c r="J19" s="43"/>
      <c r="K19" s="43"/>
      <c r="L19" s="43"/>
      <c r="M19" s="43"/>
      <c r="N19" s="43"/>
      <c r="O19" s="43"/>
      <c r="P19" s="43"/>
      <c r="Q19" s="43"/>
      <c r="R19" s="43"/>
      <c r="S19" s="42"/>
      <c r="T19" s="42"/>
      <c r="U19" s="6"/>
      <c r="W19" s="36" t="s">
        <v>9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9"/>
      <c r="AL19" s="36" t="s">
        <v>9</v>
      </c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19"/>
      <c r="BA19" s="27" t="s">
        <v>9</v>
      </c>
      <c r="BB19" s="28" t="str">
        <f t="shared" si="1"/>
        <v/>
      </c>
      <c r="BC19" s="28" t="str">
        <f t="shared" si="0"/>
        <v/>
      </c>
      <c r="BD19" s="28" t="str">
        <f t="shared" si="0"/>
        <v/>
      </c>
      <c r="BE19" s="28" t="str">
        <f t="shared" si="0"/>
        <v/>
      </c>
      <c r="BF19" s="28" t="str">
        <f t="shared" si="0"/>
        <v/>
      </c>
      <c r="BG19" s="28" t="str">
        <f t="shared" si="0"/>
        <v/>
      </c>
      <c r="BH19" s="28" t="str">
        <f t="shared" si="0"/>
        <v/>
      </c>
      <c r="BI19" s="28" t="str">
        <f t="shared" si="0"/>
        <v/>
      </c>
      <c r="BJ19" s="28" t="str">
        <f t="shared" si="0"/>
        <v/>
      </c>
      <c r="BK19" s="28" t="str">
        <f t="shared" si="0"/>
        <v/>
      </c>
      <c r="BL19" s="28" t="str">
        <f t="shared" si="0"/>
        <v/>
      </c>
      <c r="BM19" s="28" t="str">
        <f t="shared" si="0"/>
        <v/>
      </c>
      <c r="BN19" s="28" t="str">
        <f t="shared" si="0"/>
        <v/>
      </c>
    </row>
    <row r="20" spans="6:66" ht="40" customHeight="1" x14ac:dyDescent="0.2">
      <c r="F20" s="1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W20" s="36" t="s">
        <v>10</v>
      </c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9"/>
      <c r="AL20" s="36" t="s">
        <v>10</v>
      </c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19"/>
      <c r="BA20" s="27" t="s">
        <v>10</v>
      </c>
      <c r="BB20" s="28" t="str">
        <f t="shared" si="1"/>
        <v/>
      </c>
      <c r="BC20" s="28" t="str">
        <f t="shared" si="0"/>
        <v/>
      </c>
      <c r="BD20" s="28" t="str">
        <f t="shared" si="0"/>
        <v/>
      </c>
      <c r="BE20" s="28" t="str">
        <f t="shared" si="0"/>
        <v/>
      </c>
      <c r="BF20" s="28" t="str">
        <f t="shared" si="0"/>
        <v/>
      </c>
      <c r="BG20" s="28" t="str">
        <f t="shared" si="0"/>
        <v/>
      </c>
      <c r="BH20" s="28" t="str">
        <f t="shared" si="0"/>
        <v/>
      </c>
      <c r="BI20" s="28" t="str">
        <f t="shared" si="0"/>
        <v/>
      </c>
      <c r="BJ20" s="28" t="str">
        <f t="shared" si="0"/>
        <v/>
      </c>
      <c r="BK20" s="28" t="str">
        <f t="shared" si="0"/>
        <v/>
      </c>
      <c r="BL20" s="28" t="str">
        <f t="shared" si="0"/>
        <v/>
      </c>
      <c r="BM20" s="28" t="str">
        <f t="shared" si="0"/>
        <v/>
      </c>
      <c r="BN20" s="28" t="str">
        <f t="shared" si="0"/>
        <v/>
      </c>
    </row>
    <row r="21" spans="6:66" ht="40" customHeight="1" x14ac:dyDescent="0.2">
      <c r="F21" s="1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W21" s="36" t="s">
        <v>11</v>
      </c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9"/>
      <c r="AL21" s="36" t="s">
        <v>11</v>
      </c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19"/>
      <c r="BA21" s="27" t="s">
        <v>11</v>
      </c>
      <c r="BB21" s="28" t="str">
        <f t="shared" si="1"/>
        <v/>
      </c>
      <c r="BC21" s="28" t="str">
        <f t="shared" si="0"/>
        <v/>
      </c>
      <c r="BD21" s="28" t="str">
        <f t="shared" si="0"/>
        <v/>
      </c>
      <c r="BE21" s="28" t="str">
        <f t="shared" si="0"/>
        <v/>
      </c>
      <c r="BF21" s="28" t="str">
        <f t="shared" si="0"/>
        <v/>
      </c>
      <c r="BG21" s="28" t="str">
        <f t="shared" si="0"/>
        <v/>
      </c>
      <c r="BH21" s="28" t="str">
        <f t="shared" si="0"/>
        <v/>
      </c>
      <c r="BI21" s="28" t="str">
        <f t="shared" si="0"/>
        <v/>
      </c>
      <c r="BJ21" s="28" t="str">
        <f t="shared" si="0"/>
        <v/>
      </c>
      <c r="BK21" s="28" t="str">
        <f t="shared" si="0"/>
        <v/>
      </c>
      <c r="BL21" s="28" t="str">
        <f t="shared" si="0"/>
        <v/>
      </c>
      <c r="BM21" s="28" t="str">
        <f t="shared" si="0"/>
        <v/>
      </c>
      <c r="BN21" s="28" t="str">
        <f t="shared" si="0"/>
        <v/>
      </c>
    </row>
    <row r="22" spans="6:66" ht="40" customHeight="1" x14ac:dyDescent="0.2">
      <c r="F22" s="1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W22" s="36" t="s">
        <v>12</v>
      </c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9"/>
      <c r="AL22" s="36" t="s">
        <v>12</v>
      </c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19"/>
      <c r="BA22" s="27" t="s">
        <v>12</v>
      </c>
      <c r="BB22" s="28" t="str">
        <f t="shared" si="1"/>
        <v/>
      </c>
      <c r="BC22" s="28" t="str">
        <f t="shared" si="0"/>
        <v/>
      </c>
      <c r="BD22" s="28" t="str">
        <f t="shared" si="0"/>
        <v/>
      </c>
      <c r="BE22" s="28" t="str">
        <f t="shared" si="0"/>
        <v/>
      </c>
      <c r="BF22" s="28" t="str">
        <f t="shared" si="0"/>
        <v/>
      </c>
      <c r="BG22" s="28" t="str">
        <f t="shared" si="0"/>
        <v/>
      </c>
      <c r="BH22" s="28" t="str">
        <f t="shared" si="0"/>
        <v/>
      </c>
      <c r="BI22" s="28" t="str">
        <f t="shared" si="0"/>
        <v/>
      </c>
      <c r="BJ22" s="28" t="str">
        <f t="shared" si="0"/>
        <v/>
      </c>
      <c r="BK22" s="28" t="str">
        <f t="shared" si="0"/>
        <v/>
      </c>
      <c r="BL22" s="28" t="str">
        <f t="shared" si="0"/>
        <v/>
      </c>
      <c r="BM22" s="28" t="str">
        <f t="shared" si="0"/>
        <v/>
      </c>
      <c r="BN22" s="28" t="str">
        <f t="shared" si="0"/>
        <v/>
      </c>
    </row>
    <row r="23" spans="6:66" ht="40" customHeight="1" x14ac:dyDescent="0.2">
      <c r="F23" s="1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</row>
    <row r="24" spans="6:66" ht="40" customHeight="1" x14ac:dyDescent="0.2">
      <c r="F24" s="1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W24" s="34"/>
      <c r="X24" s="35" t="s">
        <v>0</v>
      </c>
      <c r="Y24" s="35" t="s">
        <v>1</v>
      </c>
      <c r="Z24" s="35" t="s">
        <v>2</v>
      </c>
      <c r="AA24" s="35" t="s">
        <v>3</v>
      </c>
      <c r="AB24" s="35" t="s">
        <v>4</v>
      </c>
      <c r="AC24" s="35" t="s">
        <v>5</v>
      </c>
      <c r="AD24" s="35" t="s">
        <v>6</v>
      </c>
      <c r="AE24" s="35" t="s">
        <v>7</v>
      </c>
      <c r="AF24" s="35" t="s">
        <v>8</v>
      </c>
      <c r="AG24" s="35" t="s">
        <v>9</v>
      </c>
      <c r="AH24" s="35" t="s">
        <v>10</v>
      </c>
      <c r="AI24" s="35" t="s">
        <v>11</v>
      </c>
      <c r="AJ24" s="35" t="s">
        <v>12</v>
      </c>
      <c r="AK24" s="19"/>
      <c r="AL24" s="25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</row>
    <row r="25" spans="6:66" ht="40" customHeight="1" x14ac:dyDescent="0.2">
      <c r="F25" s="1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W25" s="36" t="s">
        <v>0</v>
      </c>
      <c r="X25" s="37"/>
      <c r="Y25" s="37"/>
      <c r="Z25" s="40">
        <v>11153.8461538462</v>
      </c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19"/>
      <c r="AL25" s="27"/>
      <c r="AM25" s="3" t="s">
        <v>37</v>
      </c>
      <c r="AN25" s="3"/>
      <c r="AO25" s="3"/>
      <c r="AP25" s="28">
        <f>SUMPRODUCT(X25:AJ37,BB10:BN22)</f>
        <v>780769.23076923401</v>
      </c>
      <c r="AQ25" s="3"/>
      <c r="AR25" s="3"/>
      <c r="AS25" s="3"/>
      <c r="AT25" s="3"/>
      <c r="AU25" s="3"/>
      <c r="AV25" s="3"/>
      <c r="AW25" s="3"/>
      <c r="AX25" s="3"/>
      <c r="AY25" s="3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</row>
    <row r="26" spans="6:66" ht="40" customHeight="1" x14ac:dyDescent="0.2">
      <c r="F26" s="19"/>
      <c r="W26" s="36" t="s">
        <v>1</v>
      </c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19"/>
      <c r="AL26" s="27"/>
      <c r="AM26" s="3" t="s">
        <v>38</v>
      </c>
      <c r="AN26" s="3"/>
      <c r="AO26" s="3"/>
      <c r="AP26" s="29">
        <f>SUM(X25:AJ37)</f>
        <v>44615.384615384799</v>
      </c>
      <c r="AQ26" s="3"/>
      <c r="AR26" s="3"/>
      <c r="AS26" s="3"/>
      <c r="AT26" s="3"/>
      <c r="AU26" s="3"/>
      <c r="AV26" s="3"/>
      <c r="AW26" s="3"/>
      <c r="AX26" s="3"/>
      <c r="AY26" s="3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</row>
    <row r="27" spans="6:66" ht="40" customHeight="1" x14ac:dyDescent="0.2">
      <c r="F27" s="19"/>
      <c r="W27" s="36" t="s">
        <v>2</v>
      </c>
      <c r="X27" s="37"/>
      <c r="Y27" s="37"/>
      <c r="Z27" s="37"/>
      <c r="AA27" s="40">
        <v>11153.8461538462</v>
      </c>
      <c r="AB27" s="37"/>
      <c r="AC27" s="37"/>
      <c r="AD27" s="37"/>
      <c r="AE27" s="37"/>
      <c r="AF27" s="37"/>
      <c r="AG27" s="37"/>
      <c r="AH27" s="37"/>
      <c r="AI27" s="37"/>
      <c r="AJ27" s="37"/>
      <c r="AK27" s="19"/>
      <c r="AL27" s="27"/>
      <c r="AM27" s="3" t="s">
        <v>39</v>
      </c>
      <c r="AN27" s="3"/>
      <c r="AO27" s="3"/>
      <c r="AP27" s="28">
        <f>AP25/AP26</f>
        <v>17.5</v>
      </c>
      <c r="AQ27" s="3"/>
      <c r="AR27" s="3"/>
      <c r="AS27" s="3"/>
      <c r="AT27" s="3"/>
      <c r="AU27" s="3"/>
      <c r="AV27" s="3"/>
      <c r="AW27" s="3"/>
      <c r="AX27" s="3"/>
      <c r="AY27" s="3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</row>
    <row r="28" spans="6:66" ht="40" customHeight="1" x14ac:dyDescent="0.2">
      <c r="F28" s="19"/>
      <c r="W28" s="36" t="s">
        <v>3</v>
      </c>
      <c r="X28" s="37"/>
      <c r="Y28" s="37"/>
      <c r="Z28" s="37"/>
      <c r="AA28" s="37"/>
      <c r="AB28" s="37"/>
      <c r="AC28" s="37"/>
      <c r="AD28" s="37"/>
      <c r="AE28" s="40">
        <v>11153.8461538462</v>
      </c>
      <c r="AF28" s="37"/>
      <c r="AG28" s="37"/>
      <c r="AH28" s="37"/>
      <c r="AI28" s="37"/>
      <c r="AJ28" s="37"/>
      <c r="AK28" s="19"/>
      <c r="AL28" s="27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</row>
    <row r="29" spans="6:66" ht="40" customHeight="1" x14ac:dyDescent="0.2">
      <c r="F29" s="19"/>
      <c r="W29" s="36" t="s">
        <v>4</v>
      </c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19"/>
      <c r="AL29" s="27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</row>
    <row r="30" spans="6:66" ht="40" customHeight="1" x14ac:dyDescent="0.2">
      <c r="W30" s="36" t="s">
        <v>5</v>
      </c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19"/>
      <c r="AL30" s="27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</row>
    <row r="31" spans="6:66" ht="40" customHeight="1" x14ac:dyDescent="0.2">
      <c r="W31" s="36" t="s">
        <v>6</v>
      </c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19"/>
      <c r="AL31" s="27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 spans="6:66" ht="40" customHeight="1" x14ac:dyDescent="0.2">
      <c r="W32" s="36" t="s">
        <v>7</v>
      </c>
      <c r="X32" s="37"/>
      <c r="Y32" s="37"/>
      <c r="Z32" s="37"/>
      <c r="AA32" s="37"/>
      <c r="AB32" s="37"/>
      <c r="AC32" s="37"/>
      <c r="AD32" s="37"/>
      <c r="AE32" s="37"/>
      <c r="AF32" s="37"/>
      <c r="AG32" s="40">
        <v>11153.8461538462</v>
      </c>
      <c r="AH32" s="37"/>
      <c r="AI32" s="37"/>
      <c r="AJ32" s="37"/>
      <c r="AK32" s="19"/>
      <c r="AL32" s="27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</row>
    <row r="33" spans="23:66" ht="40" customHeight="1" x14ac:dyDescent="0.2">
      <c r="W33" s="36" t="s">
        <v>8</v>
      </c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19"/>
      <c r="AL33" s="27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</row>
    <row r="34" spans="23:66" ht="40" customHeight="1" x14ac:dyDescent="0.2">
      <c r="W34" s="36" t="s">
        <v>9</v>
      </c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19"/>
      <c r="AL34" s="27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</row>
    <row r="35" spans="23:66" ht="40" customHeight="1" x14ac:dyDescent="0.2">
      <c r="W35" s="36" t="s">
        <v>10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19"/>
      <c r="AL35" s="27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23:66" ht="40" customHeight="1" x14ac:dyDescent="0.2">
      <c r="W36" s="36" t="s">
        <v>11</v>
      </c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19"/>
      <c r="AL36" s="27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7" spans="23:66" ht="40" customHeight="1" x14ac:dyDescent="0.2">
      <c r="W37" s="36" t="s">
        <v>12</v>
      </c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19"/>
      <c r="AL37" s="27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</row>
  </sheetData>
  <conditionalFormatting sqref="X10:AJ22">
    <cfRule type="colorScale" priority="1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X25:AJ37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M10:AY22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AM25:AY37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B10:BN22">
    <cfRule type="colorScale" priority="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82FF-7FCD-8A4D-88CE-3543B3EBE933}">
  <dimension ref="D2:R23"/>
  <sheetViews>
    <sheetView showGridLines="0" workbookViewId="0">
      <selection activeCell="M3" sqref="M3"/>
    </sheetView>
  </sheetViews>
  <sheetFormatPr baseColWidth="10" defaultColWidth="8.33203125" defaultRowHeight="40" customHeight="1" x14ac:dyDescent="0.2"/>
  <sheetData>
    <row r="2" spans="4:18" ht="40" customHeight="1" x14ac:dyDescent="0.2">
      <c r="G2" s="6"/>
      <c r="H2" s="6"/>
      <c r="I2" s="6"/>
      <c r="J2" s="6"/>
      <c r="K2" s="6"/>
      <c r="L2" s="6"/>
      <c r="M2" s="6"/>
    </row>
    <row r="3" spans="4:18" ht="40" customHeight="1" x14ac:dyDescent="0.2">
      <c r="G3" s="6"/>
      <c r="H3" s="6"/>
      <c r="I3" s="7" t="s">
        <v>30</v>
      </c>
      <c r="J3" s="7" t="s">
        <v>40</v>
      </c>
      <c r="K3" s="6"/>
      <c r="L3" s="7" t="s">
        <v>50</v>
      </c>
      <c r="M3" s="7">
        <f>8*6*14*14</f>
        <v>9408</v>
      </c>
    </row>
    <row r="4" spans="4:18" ht="40" customHeight="1" x14ac:dyDescent="0.2">
      <c r="G4" s="6"/>
      <c r="H4" s="6"/>
      <c r="I4" s="6"/>
      <c r="J4" s="6"/>
      <c r="K4" s="6"/>
    </row>
    <row r="5" spans="4:18" ht="40" customHeight="1" thickBot="1" x14ac:dyDescent="0.25">
      <c r="H5" s="6"/>
      <c r="I5" s="6"/>
      <c r="J5" s="6"/>
      <c r="K5" s="6"/>
      <c r="L5" s="6"/>
    </row>
    <row r="6" spans="4:18" ht="40" customHeight="1" x14ac:dyDescent="0.2">
      <c r="D6" s="56" t="s">
        <v>44</v>
      </c>
      <c r="H6" s="47"/>
      <c r="I6" s="48">
        <v>1</v>
      </c>
      <c r="J6" s="48">
        <v>2</v>
      </c>
      <c r="K6" s="48">
        <v>3</v>
      </c>
      <c r="L6" s="48">
        <v>4</v>
      </c>
      <c r="M6" s="48">
        <v>5</v>
      </c>
      <c r="N6" s="48">
        <v>6</v>
      </c>
      <c r="O6" s="48">
        <v>7</v>
      </c>
      <c r="P6" s="48">
        <v>8</v>
      </c>
      <c r="Q6" s="48">
        <v>9</v>
      </c>
      <c r="R6" s="49"/>
    </row>
    <row r="7" spans="4:18" ht="40" customHeight="1" x14ac:dyDescent="0.2">
      <c r="D7" s="56"/>
      <c r="H7" s="50">
        <v>1</v>
      </c>
      <c r="I7" s="42"/>
      <c r="J7" s="42"/>
      <c r="K7" s="42"/>
      <c r="L7" s="42"/>
      <c r="M7" s="43"/>
      <c r="N7" s="43"/>
      <c r="O7" s="42"/>
      <c r="P7" s="42"/>
      <c r="Q7" s="42"/>
      <c r="R7" s="51"/>
    </row>
    <row r="8" spans="4:18" ht="40" customHeight="1" x14ac:dyDescent="0.2">
      <c r="H8" s="50">
        <v>2</v>
      </c>
      <c r="I8" s="43"/>
      <c r="J8" s="43"/>
      <c r="K8" s="43"/>
      <c r="L8" s="43"/>
      <c r="M8" s="43"/>
      <c r="N8" s="43"/>
      <c r="O8" s="43"/>
      <c r="P8" s="43"/>
      <c r="Q8" s="42"/>
      <c r="R8" s="51"/>
    </row>
    <row r="9" spans="4:18" ht="40" customHeight="1" x14ac:dyDescent="0.2">
      <c r="H9" s="50">
        <v>3</v>
      </c>
      <c r="I9" s="43"/>
      <c r="J9" s="43"/>
      <c r="K9" s="43"/>
      <c r="L9" s="43"/>
      <c r="M9" s="43"/>
      <c r="N9" s="43"/>
      <c r="O9" s="43"/>
      <c r="P9" s="43"/>
      <c r="Q9" s="42"/>
      <c r="R9" s="51"/>
    </row>
    <row r="10" spans="4:18" ht="40" customHeight="1" x14ac:dyDescent="0.2">
      <c r="H10" s="50">
        <v>4</v>
      </c>
      <c r="I10" s="43"/>
      <c r="J10" s="43"/>
      <c r="K10" s="43"/>
      <c r="L10" s="43"/>
      <c r="M10" s="43"/>
      <c r="N10" s="43"/>
      <c r="O10" s="43"/>
      <c r="P10" s="43"/>
      <c r="Q10" s="42"/>
      <c r="R10" s="51"/>
    </row>
    <row r="11" spans="4:18" ht="40" customHeight="1" x14ac:dyDescent="0.2">
      <c r="H11" s="50">
        <v>5</v>
      </c>
      <c r="I11" s="43"/>
      <c r="J11" s="43"/>
      <c r="K11" s="43"/>
      <c r="L11" s="43"/>
      <c r="M11" s="43"/>
      <c r="N11" s="43"/>
      <c r="O11" s="43"/>
      <c r="P11" s="43"/>
      <c r="Q11" s="42"/>
      <c r="R11" s="51"/>
    </row>
    <row r="12" spans="4:18" ht="40" customHeight="1" x14ac:dyDescent="0.2">
      <c r="H12" s="50">
        <v>6</v>
      </c>
      <c r="I12" s="43"/>
      <c r="J12" s="43"/>
      <c r="K12" s="43"/>
      <c r="L12" s="43"/>
      <c r="M12" s="43"/>
      <c r="N12" s="43"/>
      <c r="O12" s="43"/>
      <c r="P12" s="43"/>
      <c r="Q12" s="42"/>
      <c r="R12" s="51"/>
    </row>
    <row r="13" spans="4:18" ht="40" customHeight="1" thickBot="1" x14ac:dyDescent="0.25">
      <c r="H13" s="52"/>
      <c r="I13" s="53"/>
      <c r="J13" s="53"/>
      <c r="K13" s="53"/>
      <c r="L13" s="53"/>
      <c r="M13" s="53"/>
      <c r="N13" s="53"/>
      <c r="O13" s="53"/>
      <c r="P13" s="53"/>
      <c r="Q13" s="54"/>
      <c r="R13" s="55"/>
    </row>
    <row r="14" spans="4:18" ht="40" customHeight="1" x14ac:dyDescent="0.2">
      <c r="H14" s="6"/>
      <c r="I14" s="6"/>
      <c r="J14" s="6"/>
      <c r="K14" s="6"/>
      <c r="L14" s="6"/>
    </row>
    <row r="15" spans="4:18" ht="40" customHeight="1" x14ac:dyDescent="0.2">
      <c r="H15" s="6"/>
      <c r="I15" s="6"/>
      <c r="J15" s="6"/>
      <c r="K15" s="6"/>
      <c r="L15" s="6"/>
    </row>
    <row r="16" spans="4:18" ht="40" customHeight="1" x14ac:dyDescent="0.2">
      <c r="H16" s="6"/>
      <c r="I16" s="6"/>
      <c r="J16" s="6"/>
      <c r="K16" s="6"/>
      <c r="L16" s="6"/>
    </row>
    <row r="17" spans="8:12" ht="40" customHeight="1" x14ac:dyDescent="0.2">
      <c r="H17" s="6"/>
      <c r="I17" s="6"/>
      <c r="J17" s="6"/>
      <c r="K17" s="6"/>
      <c r="L17" s="6"/>
    </row>
    <row r="18" spans="8:12" ht="40" customHeight="1" x14ac:dyDescent="0.2">
      <c r="H18" s="6"/>
      <c r="I18" s="6"/>
      <c r="J18" s="6"/>
      <c r="K18" s="6"/>
      <c r="L18" s="6"/>
    </row>
    <row r="19" spans="8:12" ht="40" customHeight="1" x14ac:dyDescent="0.2">
      <c r="H19" s="6"/>
      <c r="I19" s="6"/>
      <c r="J19" s="6"/>
      <c r="K19" s="6"/>
      <c r="L19" s="6"/>
    </row>
    <row r="20" spans="8:12" ht="40" customHeight="1" x14ac:dyDescent="0.2">
      <c r="H20" s="6"/>
      <c r="I20" s="6"/>
      <c r="J20" s="6"/>
      <c r="K20" s="6"/>
      <c r="L20" s="6"/>
    </row>
    <row r="21" spans="8:12" ht="40" customHeight="1" x14ac:dyDescent="0.2">
      <c r="H21" s="6"/>
      <c r="I21" s="6"/>
      <c r="J21" s="6"/>
      <c r="K21" s="6"/>
      <c r="L21" s="6"/>
    </row>
    <row r="22" spans="8:12" ht="40" customHeight="1" x14ac:dyDescent="0.2">
      <c r="H22" s="6"/>
      <c r="I22" s="6"/>
      <c r="J22" s="6"/>
      <c r="K22" s="6"/>
      <c r="L22" s="6"/>
    </row>
    <row r="23" spans="8:12" ht="40" customHeight="1" x14ac:dyDescent="0.2">
      <c r="H23" s="6"/>
      <c r="I23" s="6"/>
      <c r="J23" s="6"/>
      <c r="K23" s="6"/>
      <c r="L23" s="6"/>
    </row>
  </sheetData>
  <mergeCells count="1">
    <mergeCell ref="D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 Matrix</vt:lpstr>
      <vt:lpstr>Step2</vt:lpstr>
      <vt:lpstr>Size Matrix</vt:lpstr>
      <vt:lpstr>Skeleton Layout</vt:lpstr>
      <vt:lpstr>Distance for Travel</vt:lpstr>
      <vt:lpstr>Final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Shankar Aadhithyaa</dc:creator>
  <cp:lastModifiedBy>Subramanian, Shankar Aadhithyaa</cp:lastModifiedBy>
  <dcterms:created xsi:type="dcterms:W3CDTF">2025-11-08T15:46:19Z</dcterms:created>
  <dcterms:modified xsi:type="dcterms:W3CDTF">2025-11-12T01:53:31Z</dcterms:modified>
</cp:coreProperties>
</file>