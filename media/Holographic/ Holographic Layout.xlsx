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hankaraadhithyaa/Library/Mobile Documents/com~apple~CloudDocs/Studies/ISyE 6335/Casework-3/"/>
    </mc:Choice>
  </mc:AlternateContent>
  <xr:revisionPtr revIDLastSave="0" documentId="13_ncr:1_{6AF4EC9F-8129-DA41-B374-A9F7A3D20B3D}" xr6:coauthVersionLast="47" xr6:coauthVersionMax="47" xr10:uidLastSave="{00000000-0000-0000-0000-000000000000}"/>
  <bookViews>
    <workbookView xWindow="0" yWindow="680" windowWidth="29400" windowHeight="17320" firstSheet="4" activeTab="11" xr2:uid="{00000000-000D-0000-FFFF-FFFF00000000}"/>
  </bookViews>
  <sheets>
    <sheet name="Step 1 - Aggregate_Factory_Flo" sheetId="1" r:id="rId1"/>
    <sheet name="Step 2 No. of eqp" sheetId="3" r:id="rId2"/>
    <sheet name="Step 3 Arrows for flow" sheetId="2" r:id="rId3"/>
    <sheet name="Step 4 Size blocks" sheetId="4" r:id="rId4"/>
    <sheet name="Step 5 Skeletal" sheetId="6" r:id="rId5"/>
    <sheet name="step 6 distance corner 1" sheetId="21" r:id="rId6"/>
    <sheet name="step 6 distance corner 2" sheetId="22" r:id="rId7"/>
    <sheet name="step 6 distance corner 3" sheetId="23" r:id="rId8"/>
    <sheet name="step 6 distance corner 4" sheetId="24" r:id="rId9"/>
    <sheet name="Step 6 Holographic Final" sheetId="20" r:id="rId10"/>
    <sheet name="Total investment " sheetId="25" r:id="rId11"/>
    <sheet name="Operators Required" sheetId="2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26" l="1"/>
  <c r="K21" i="26"/>
  <c r="K20" i="26"/>
  <c r="K19" i="26"/>
  <c r="K18" i="26"/>
  <c r="K17" i="26"/>
  <c r="K16" i="26"/>
  <c r="K15" i="26"/>
  <c r="K14" i="26"/>
  <c r="K13" i="26"/>
  <c r="K12" i="26"/>
  <c r="K11" i="26"/>
  <c r="K10" i="26"/>
  <c r="K9" i="26"/>
  <c r="K22" i="26" s="1"/>
  <c r="D32" i="25"/>
  <c r="E22" i="25"/>
  <c r="F22" i="25" s="1"/>
  <c r="E21" i="25"/>
  <c r="F21" i="25" s="1"/>
  <c r="E20" i="25"/>
  <c r="F20" i="25" s="1"/>
  <c r="E19" i="25"/>
  <c r="F19" i="25" s="1"/>
  <c r="E18" i="25"/>
  <c r="F18" i="25" s="1"/>
  <c r="E17" i="25"/>
  <c r="F17" i="25" s="1"/>
  <c r="E16" i="25"/>
  <c r="F16" i="25" s="1"/>
  <c r="E15" i="25"/>
  <c r="F15" i="25" s="1"/>
  <c r="E14" i="25"/>
  <c r="F14" i="25" s="1"/>
  <c r="E13" i="25"/>
  <c r="F13" i="25" s="1"/>
  <c r="E12" i="25"/>
  <c r="F12" i="25" s="1"/>
  <c r="E11" i="25"/>
  <c r="F11" i="25" s="1"/>
  <c r="E10" i="25"/>
  <c r="F10" i="25" s="1"/>
  <c r="F23" i="25" l="1"/>
  <c r="F31" i="25" s="1"/>
  <c r="BM28" i="24" l="1"/>
  <c r="BM30" i="24" s="1"/>
  <c r="BM29" i="24"/>
  <c r="CM12" i="20"/>
  <c r="BF40" i="24"/>
  <c r="BG39" i="24"/>
  <c r="BE39" i="24"/>
  <c r="BG38" i="24"/>
  <c r="BF38" i="24"/>
  <c r="BC37" i="24"/>
  <c r="BR22" i="24" s="1"/>
  <c r="BD36" i="24"/>
  <c r="BS21" i="24" s="1"/>
  <c r="BD35" i="24"/>
  <c r="BS20" i="24" s="1"/>
  <c r="BC35" i="24"/>
  <c r="BC34" i="24"/>
  <c r="BR19" i="24" s="1"/>
  <c r="BB34" i="24"/>
  <c r="AZ34" i="24"/>
  <c r="AY34" i="24"/>
  <c r="BC33" i="24"/>
  <c r="BC18" i="24" s="1"/>
  <c r="CG18" i="24" s="1"/>
  <c r="BB33" i="24"/>
  <c r="BB18" i="24" s="1"/>
  <c r="BA33" i="24"/>
  <c r="BA18" i="24" s="1"/>
  <c r="CE18" i="24" s="1"/>
  <c r="AW33" i="24"/>
  <c r="AW18" i="24" s="1"/>
  <c r="BB32" i="24"/>
  <c r="BB17" i="24" s="1"/>
  <c r="BA32" i="24"/>
  <c r="AZ32" i="24"/>
  <c r="BC31" i="24"/>
  <c r="BB31" i="24"/>
  <c r="BA31" i="24"/>
  <c r="AW31" i="24"/>
  <c r="BL16" i="24" s="1"/>
  <c r="BC30" i="24"/>
  <c r="BC15" i="24" s="1"/>
  <c r="AX30" i="24"/>
  <c r="AX29" i="24"/>
  <c r="AW29" i="24"/>
  <c r="AU29" i="24"/>
  <c r="AW28" i="24"/>
  <c r="AV28" i="24"/>
  <c r="BK13" i="24" s="1"/>
  <c r="CK25" i="24"/>
  <c r="CI25" i="24"/>
  <c r="CH25" i="24"/>
  <c r="CG25" i="24"/>
  <c r="CF25" i="24"/>
  <c r="CE25" i="24"/>
  <c r="CD25" i="24"/>
  <c r="CC25" i="24"/>
  <c r="CB25" i="24"/>
  <c r="CA25" i="24"/>
  <c r="BZ25" i="24"/>
  <c r="BY25" i="24"/>
  <c r="BU25" i="24"/>
  <c r="BF25" i="24"/>
  <c r="CJ25" i="24" s="1"/>
  <c r="CJ24" i="24"/>
  <c r="CH24" i="24"/>
  <c r="CG24" i="24"/>
  <c r="CF24" i="24"/>
  <c r="CE24" i="24"/>
  <c r="CD24" i="24"/>
  <c r="CC24" i="24"/>
  <c r="CB24" i="24"/>
  <c r="CA24" i="24"/>
  <c r="BZ24" i="24"/>
  <c r="BY24" i="24"/>
  <c r="BV24" i="24"/>
  <c r="CK24" i="24" s="1"/>
  <c r="BT24" i="24"/>
  <c r="CI24" i="24" s="1"/>
  <c r="BG24" i="24"/>
  <c r="BE24" i="24"/>
  <c r="CI23" i="24"/>
  <c r="CH23" i="24"/>
  <c r="CG23" i="24"/>
  <c r="CF23" i="24"/>
  <c r="CE23" i="24"/>
  <c r="CD23" i="24"/>
  <c r="CC23" i="24"/>
  <c r="CB23" i="24"/>
  <c r="CA23" i="24"/>
  <c r="BZ23" i="24"/>
  <c r="BY23" i="24"/>
  <c r="BV23" i="24"/>
  <c r="BU23" i="24"/>
  <c r="BG23" i="24"/>
  <c r="CK23" i="24" s="1"/>
  <c r="BF23" i="24"/>
  <c r="CJ23" i="24" s="1"/>
  <c r="CK22" i="24"/>
  <c r="CJ22" i="24"/>
  <c r="CI22" i="24"/>
  <c r="CH22" i="24"/>
  <c r="CF22" i="24"/>
  <c r="CE22" i="24"/>
  <c r="CD22" i="24"/>
  <c r="CC22" i="24"/>
  <c r="CB22" i="24"/>
  <c r="CA22" i="24"/>
  <c r="BZ22" i="24"/>
  <c r="BY22" i="24"/>
  <c r="CK21" i="24"/>
  <c r="CJ21" i="24"/>
  <c r="CI21" i="24"/>
  <c r="CG21" i="24"/>
  <c r="CF21" i="24"/>
  <c r="CE21" i="24"/>
  <c r="CD21" i="24"/>
  <c r="CC21" i="24"/>
  <c r="CB21" i="24"/>
  <c r="CA21" i="24"/>
  <c r="BZ21" i="24"/>
  <c r="BY21" i="24"/>
  <c r="CK20" i="24"/>
  <c r="CJ20" i="24"/>
  <c r="CI20" i="24"/>
  <c r="CF20" i="24"/>
  <c r="CE20" i="24"/>
  <c r="CD20" i="24"/>
  <c r="CC20" i="24"/>
  <c r="CB20" i="24"/>
  <c r="CA20" i="24"/>
  <c r="BZ20" i="24"/>
  <c r="BY20" i="24"/>
  <c r="BR20" i="24"/>
  <c r="BD20" i="24"/>
  <c r="CH20" i="24" s="1"/>
  <c r="BC20" i="24"/>
  <c r="CG20" i="24" s="1"/>
  <c r="CK19" i="24"/>
  <c r="CJ19" i="24"/>
  <c r="CI19" i="24"/>
  <c r="CH19" i="24"/>
  <c r="CE19" i="24"/>
  <c r="CD19" i="24"/>
  <c r="CB19" i="24"/>
  <c r="CA19" i="24"/>
  <c r="BZ19" i="24"/>
  <c r="BY19" i="24"/>
  <c r="BQ19" i="24"/>
  <c r="BO19" i="24"/>
  <c r="BN19" i="24"/>
  <c r="CC19" i="24" s="1"/>
  <c r="BC19" i="24"/>
  <c r="BB19" i="24"/>
  <c r="CF19" i="24" s="1"/>
  <c r="AZ19" i="24"/>
  <c r="AY19" i="24"/>
  <c r="CK18" i="24"/>
  <c r="CJ18" i="24"/>
  <c r="CI18" i="24"/>
  <c r="CH18" i="24"/>
  <c r="CF18" i="24"/>
  <c r="CD18" i="24"/>
  <c r="CC18" i="24"/>
  <c r="CB18" i="24"/>
  <c r="BZ18" i="24"/>
  <c r="BY18" i="24"/>
  <c r="BR18" i="24"/>
  <c r="BQ18" i="24"/>
  <c r="BP18" i="24"/>
  <c r="CK17" i="24"/>
  <c r="CJ17" i="24"/>
  <c r="CI17" i="24"/>
  <c r="CH17" i="24"/>
  <c r="CG17" i="24"/>
  <c r="CC17" i="24"/>
  <c r="CB17" i="24"/>
  <c r="CA17" i="24"/>
  <c r="BZ17" i="24"/>
  <c r="BY17" i="24"/>
  <c r="BP17" i="24"/>
  <c r="BO17" i="24"/>
  <c r="BA17" i="24"/>
  <c r="CE17" i="24" s="1"/>
  <c r="AZ17" i="24"/>
  <c r="CD17" i="24" s="1"/>
  <c r="CK16" i="24"/>
  <c r="CJ16" i="24"/>
  <c r="CI16" i="24"/>
  <c r="CH16" i="24"/>
  <c r="CD16" i="24"/>
  <c r="CC16" i="24"/>
  <c r="CB16" i="24"/>
  <c r="BZ16" i="24"/>
  <c r="BY16" i="24"/>
  <c r="BR16" i="24"/>
  <c r="CG16" i="24" s="1"/>
  <c r="BQ16" i="24"/>
  <c r="BP16" i="24"/>
  <c r="CE16" i="24" s="1"/>
  <c r="BC16" i="24"/>
  <c r="BB16" i="24"/>
  <c r="BA16" i="24"/>
  <c r="AW16" i="24"/>
  <c r="O16" i="24"/>
  <c r="O17" i="24" s="1"/>
  <c r="O18" i="24" s="1"/>
  <c r="O19" i="24" s="1"/>
  <c r="O20" i="24" s="1"/>
  <c r="O21" i="24" s="1"/>
  <c r="O22" i="24" s="1"/>
  <c r="O23" i="24" s="1"/>
  <c r="O24" i="24" s="1"/>
  <c r="O25" i="24" s="1"/>
  <c r="O26" i="24" s="1"/>
  <c r="O27" i="24" s="1"/>
  <c r="O28" i="24" s="1"/>
  <c r="CK15" i="24"/>
  <c r="CJ15" i="24"/>
  <c r="CI15" i="24"/>
  <c r="CH15" i="24"/>
  <c r="CF15" i="24"/>
  <c r="CE15" i="24"/>
  <c r="CD15" i="24"/>
  <c r="CC15" i="24"/>
  <c r="CA15" i="24"/>
  <c r="BZ15" i="24"/>
  <c r="BY15" i="24"/>
  <c r="CK14" i="24"/>
  <c r="CJ14" i="24"/>
  <c r="CI14" i="24"/>
  <c r="CH14" i="24"/>
  <c r="CG14" i="24"/>
  <c r="CF14" i="24"/>
  <c r="CE14" i="24"/>
  <c r="CD14" i="24"/>
  <c r="CC14" i="24"/>
  <c r="BZ14" i="24"/>
  <c r="BY14" i="24"/>
  <c r="BM14" i="24"/>
  <c r="CB14" i="24" s="1"/>
  <c r="BL14" i="24"/>
  <c r="BJ14" i="24"/>
  <c r="AX14" i="24"/>
  <c r="AW14" i="24"/>
  <c r="AU14" i="24"/>
  <c r="R14" i="24"/>
  <c r="S14" i="24" s="1"/>
  <c r="T14" i="24" s="1"/>
  <c r="U14" i="24" s="1"/>
  <c r="V14" i="24" s="1"/>
  <c r="W14" i="24" s="1"/>
  <c r="X14" i="24" s="1"/>
  <c r="Y14" i="24" s="1"/>
  <c r="Z14" i="24" s="1"/>
  <c r="AA14" i="24" s="1"/>
  <c r="AB14" i="24" s="1"/>
  <c r="AC14" i="24" s="1"/>
  <c r="AD14" i="24" s="1"/>
  <c r="AE14" i="24" s="1"/>
  <c r="Q14" i="24"/>
  <c r="CK13" i="24"/>
  <c r="CJ13" i="24"/>
  <c r="CI13" i="24"/>
  <c r="CH13" i="24"/>
  <c r="CG13" i="24"/>
  <c r="CF13" i="24"/>
  <c r="CE13" i="24"/>
  <c r="CD13" i="24"/>
  <c r="CC13" i="24"/>
  <c r="CB13" i="24"/>
  <c r="CA13" i="24"/>
  <c r="BY13" i="24"/>
  <c r="BL13" i="24"/>
  <c r="AW13" i="24"/>
  <c r="BF40" i="23"/>
  <c r="BG39" i="23"/>
  <c r="BE39" i="23"/>
  <c r="BG38" i="23"/>
  <c r="BG23" i="23" s="1"/>
  <c r="BF38" i="23"/>
  <c r="BC37" i="23"/>
  <c r="BD36" i="23"/>
  <c r="BD21" i="23" s="1"/>
  <c r="CH21" i="23" s="1"/>
  <c r="BD35" i="23"/>
  <c r="BD20" i="23" s="1"/>
  <c r="BC35" i="23"/>
  <c r="BC20" i="23" s="1"/>
  <c r="BC34" i="23"/>
  <c r="BB34" i="23"/>
  <c r="BB19" i="23" s="1"/>
  <c r="AZ34" i="23"/>
  <c r="AZ19" i="23" s="1"/>
  <c r="AY34" i="23"/>
  <c r="BC33" i="23"/>
  <c r="BC18" i="23" s="1"/>
  <c r="BB33" i="23"/>
  <c r="BA33" i="23"/>
  <c r="AW33" i="23"/>
  <c r="BB32" i="23"/>
  <c r="BB17" i="23" s="1"/>
  <c r="BA32" i="23"/>
  <c r="BP17" i="23" s="1"/>
  <c r="AZ32" i="23"/>
  <c r="BC31" i="23"/>
  <c r="BR16" i="23" s="1"/>
  <c r="BB31" i="23"/>
  <c r="BQ16" i="23" s="1"/>
  <c r="BA31" i="23"/>
  <c r="BP16" i="23" s="1"/>
  <c r="AW31" i="23"/>
  <c r="BL16" i="23" s="1"/>
  <c r="BC30" i="23"/>
  <c r="AX30" i="23"/>
  <c r="BM15" i="23" s="1"/>
  <c r="AX29" i="23"/>
  <c r="BM14" i="23" s="1"/>
  <c r="CB14" i="23" s="1"/>
  <c r="AW29" i="23"/>
  <c r="AU29" i="23"/>
  <c r="BJ14" i="23" s="1"/>
  <c r="AW28" i="23"/>
  <c r="BL13" i="23" s="1"/>
  <c r="AV28" i="23"/>
  <c r="CK25" i="23"/>
  <c r="CI25" i="23"/>
  <c r="CH25" i="23"/>
  <c r="CG25" i="23"/>
  <c r="CF25" i="23"/>
  <c r="CE25" i="23"/>
  <c r="CD25" i="23"/>
  <c r="CC25" i="23"/>
  <c r="CB25" i="23"/>
  <c r="CA25" i="23"/>
  <c r="BZ25" i="23"/>
  <c r="BY25" i="23"/>
  <c r="BU25" i="23"/>
  <c r="BF25" i="23"/>
  <c r="CJ25" i="23" s="1"/>
  <c r="CJ24" i="23"/>
  <c r="CH24" i="23"/>
  <c r="CG24" i="23"/>
  <c r="CF24" i="23"/>
  <c r="CE24" i="23"/>
  <c r="CD24" i="23"/>
  <c r="CC24" i="23"/>
  <c r="CB24" i="23"/>
  <c r="CA24" i="23"/>
  <c r="BZ24" i="23"/>
  <c r="BY24" i="23"/>
  <c r="CI23" i="23"/>
  <c r="CH23" i="23"/>
  <c r="CG23" i="23"/>
  <c r="CF23" i="23"/>
  <c r="CE23" i="23"/>
  <c r="CD23" i="23"/>
  <c r="CC23" i="23"/>
  <c r="CB23" i="23"/>
  <c r="CA23" i="23"/>
  <c r="BZ23" i="23"/>
  <c r="BY23" i="23"/>
  <c r="CK22" i="23"/>
  <c r="CJ22" i="23"/>
  <c r="CI22" i="23"/>
  <c r="CH22" i="23"/>
  <c r="CF22" i="23"/>
  <c r="CE22" i="23"/>
  <c r="CD22" i="23"/>
  <c r="CC22" i="23"/>
  <c r="CB22" i="23"/>
  <c r="CA22" i="23"/>
  <c r="BZ22" i="23"/>
  <c r="BY22" i="23"/>
  <c r="BR22" i="23"/>
  <c r="BC22" i="23"/>
  <c r="CG22" i="23" s="1"/>
  <c r="CK21" i="23"/>
  <c r="CJ21" i="23"/>
  <c r="CI21" i="23"/>
  <c r="CG21" i="23"/>
  <c r="CF21" i="23"/>
  <c r="CE21" i="23"/>
  <c r="CD21" i="23"/>
  <c r="CC21" i="23"/>
  <c r="CB21" i="23"/>
  <c r="CA21" i="23"/>
  <c r="BZ21" i="23"/>
  <c r="BY21" i="23"/>
  <c r="BS21" i="23"/>
  <c r="CK20" i="23"/>
  <c r="CJ20" i="23"/>
  <c r="CI20" i="23"/>
  <c r="CH20" i="23"/>
  <c r="CF20" i="23"/>
  <c r="CE20" i="23"/>
  <c r="CD20" i="23"/>
  <c r="CC20" i="23"/>
  <c r="CB20" i="23"/>
  <c r="CA20" i="23"/>
  <c r="BZ20" i="23"/>
  <c r="BY20" i="23"/>
  <c r="BS20" i="23"/>
  <c r="CK19" i="23"/>
  <c r="CJ19" i="23"/>
  <c r="CI19" i="23"/>
  <c r="CH19" i="23"/>
  <c r="CG19" i="23"/>
  <c r="CF19" i="23"/>
  <c r="CE19" i="23"/>
  <c r="CB19" i="23"/>
  <c r="CA19" i="23"/>
  <c r="BZ19" i="23"/>
  <c r="BY19" i="23"/>
  <c r="BR19" i="23"/>
  <c r="BQ19" i="23"/>
  <c r="BC19" i="23"/>
  <c r="CK18" i="23"/>
  <c r="CJ18" i="23"/>
  <c r="CI18" i="23"/>
  <c r="CH18" i="23"/>
  <c r="CD18" i="23"/>
  <c r="CC18" i="23"/>
  <c r="CB18" i="23"/>
  <c r="BZ18" i="23"/>
  <c r="BY18" i="23"/>
  <c r="BP18" i="23"/>
  <c r="BL18" i="23"/>
  <c r="BA18" i="23"/>
  <c r="CE18" i="23" s="1"/>
  <c r="AW18" i="23"/>
  <c r="CA18" i="23" s="1"/>
  <c r="O18" i="23"/>
  <c r="O19" i="23" s="1"/>
  <c r="O20" i="23" s="1"/>
  <c r="O21" i="23" s="1"/>
  <c r="O22" i="23" s="1"/>
  <c r="O23" i="23" s="1"/>
  <c r="O24" i="23" s="1"/>
  <c r="O25" i="23" s="1"/>
  <c r="O26" i="23" s="1"/>
  <c r="O27" i="23" s="1"/>
  <c r="O28" i="23" s="1"/>
  <c r="CK17" i="23"/>
  <c r="CJ17" i="23"/>
  <c r="CI17" i="23"/>
  <c r="CH17" i="23"/>
  <c r="CG17" i="23"/>
  <c r="CC17" i="23"/>
  <c r="CB17" i="23"/>
  <c r="CA17" i="23"/>
  <c r="BZ17" i="23"/>
  <c r="BY17" i="23"/>
  <c r="BO17" i="23"/>
  <c r="AZ17" i="23"/>
  <c r="CD17" i="23" s="1"/>
  <c r="O17" i="23"/>
  <c r="CK16" i="23"/>
  <c r="CJ16" i="23"/>
  <c r="CI16" i="23"/>
  <c r="CH16" i="23"/>
  <c r="CD16" i="23"/>
  <c r="CC16" i="23"/>
  <c r="CB16" i="23"/>
  <c r="BZ16" i="23"/>
  <c r="BY16" i="23"/>
  <c r="BC16" i="23"/>
  <c r="CG16" i="23" s="1"/>
  <c r="BB16" i="23"/>
  <c r="CF16" i="23" s="1"/>
  <c r="BA16" i="23"/>
  <c r="CE16" i="23" s="1"/>
  <c r="O16" i="23"/>
  <c r="CK15" i="23"/>
  <c r="CJ15" i="23"/>
  <c r="CI15" i="23"/>
  <c r="CH15" i="23"/>
  <c r="CF15" i="23"/>
  <c r="CE15" i="23"/>
  <c r="CD15" i="23"/>
  <c r="CC15" i="23"/>
  <c r="CB15" i="23"/>
  <c r="CA15" i="23"/>
  <c r="BZ15" i="23"/>
  <c r="BY15" i="23"/>
  <c r="BR15" i="23"/>
  <c r="BC15" i="23"/>
  <c r="CG15" i="23" s="1"/>
  <c r="AX15" i="23"/>
  <c r="CK14" i="23"/>
  <c r="CJ14" i="23"/>
  <c r="CI14" i="23"/>
  <c r="CH14" i="23"/>
  <c r="CG14" i="23"/>
  <c r="CF14" i="23"/>
  <c r="CE14" i="23"/>
  <c r="CD14" i="23"/>
  <c r="CC14" i="23"/>
  <c r="CA14" i="23"/>
  <c r="BZ14" i="23"/>
  <c r="BY14" i="23"/>
  <c r="BL14" i="23"/>
  <c r="AX14" i="23"/>
  <c r="AW14" i="23"/>
  <c r="AU14" i="23"/>
  <c r="T14" i="23"/>
  <c r="U14" i="23" s="1"/>
  <c r="V14" i="23" s="1"/>
  <c r="W14" i="23" s="1"/>
  <c r="X14" i="23" s="1"/>
  <c r="Y14" i="23" s="1"/>
  <c r="Z14" i="23" s="1"/>
  <c r="AA14" i="23" s="1"/>
  <c r="AB14" i="23" s="1"/>
  <c r="AC14" i="23" s="1"/>
  <c r="AD14" i="23" s="1"/>
  <c r="AE14" i="23" s="1"/>
  <c r="S14" i="23"/>
  <c r="R14" i="23"/>
  <c r="Q14" i="23"/>
  <c r="CK13" i="23"/>
  <c r="CJ13" i="23"/>
  <c r="CI13" i="23"/>
  <c r="CH13" i="23"/>
  <c r="CG13" i="23"/>
  <c r="CF13" i="23"/>
  <c r="CE13" i="23"/>
  <c r="CD13" i="23"/>
  <c r="CC13" i="23"/>
  <c r="CB13" i="23"/>
  <c r="BY13" i="23"/>
  <c r="BF40" i="22"/>
  <c r="BU25" i="22" s="1"/>
  <c r="CJ25" i="22" s="1"/>
  <c r="BG39" i="22"/>
  <c r="BV24" i="22" s="1"/>
  <c r="BE39" i="22"/>
  <c r="BG38" i="22"/>
  <c r="BG23" i="22" s="1"/>
  <c r="CK23" i="22" s="1"/>
  <c r="BF38" i="22"/>
  <c r="BC37" i="22"/>
  <c r="BR22" i="22" s="1"/>
  <c r="BD36" i="22"/>
  <c r="BD35" i="22"/>
  <c r="BS20" i="22" s="1"/>
  <c r="BC35" i="22"/>
  <c r="BC34" i="22"/>
  <c r="BB34" i="22"/>
  <c r="AZ34" i="22"/>
  <c r="BO19" i="22" s="1"/>
  <c r="AY34" i="22"/>
  <c r="BC33" i="22"/>
  <c r="BB33" i="22"/>
  <c r="BA33" i="22"/>
  <c r="BP18" i="22" s="1"/>
  <c r="AW33" i="22"/>
  <c r="BB32" i="22"/>
  <c r="BQ17" i="22" s="1"/>
  <c r="BA32" i="22"/>
  <c r="BP17" i="22" s="1"/>
  <c r="AZ32" i="22"/>
  <c r="BC31" i="22"/>
  <c r="BR16" i="22" s="1"/>
  <c r="BB31" i="22"/>
  <c r="BQ16" i="22" s="1"/>
  <c r="BA31" i="22"/>
  <c r="AW31" i="22"/>
  <c r="BC30" i="22"/>
  <c r="AX30" i="22"/>
  <c r="AX29" i="22"/>
  <c r="BM14" i="22" s="1"/>
  <c r="AW29" i="22"/>
  <c r="BL14" i="22" s="1"/>
  <c r="AU29" i="22"/>
  <c r="AW28" i="22"/>
  <c r="AV28" i="22"/>
  <c r="CK25" i="22"/>
  <c r="CI25" i="22"/>
  <c r="CH25" i="22"/>
  <c r="CG25" i="22"/>
  <c r="CF25" i="22"/>
  <c r="CE25" i="22"/>
  <c r="CD25" i="22"/>
  <c r="CC25" i="22"/>
  <c r="CB25" i="22"/>
  <c r="CA25" i="22"/>
  <c r="BZ25" i="22"/>
  <c r="BY25" i="22"/>
  <c r="BF25" i="22"/>
  <c r="CJ24" i="22"/>
  <c r="CH24" i="22"/>
  <c r="CG24" i="22"/>
  <c r="CF24" i="22"/>
  <c r="CE24" i="22"/>
  <c r="CD24" i="22"/>
  <c r="CC24" i="22"/>
  <c r="CB24" i="22"/>
  <c r="CA24" i="22"/>
  <c r="BZ24" i="22"/>
  <c r="BY24" i="22"/>
  <c r="BT24" i="22"/>
  <c r="BE24" i="22"/>
  <c r="CI24" i="22" s="1"/>
  <c r="CI23" i="22"/>
  <c r="CH23" i="22"/>
  <c r="CG23" i="22"/>
  <c r="CF23" i="22"/>
  <c r="CE23" i="22"/>
  <c r="CD23" i="22"/>
  <c r="CC23" i="22"/>
  <c r="CB23" i="22"/>
  <c r="CA23" i="22"/>
  <c r="BZ23" i="22"/>
  <c r="BY23" i="22"/>
  <c r="BV23" i="22"/>
  <c r="BU23" i="22"/>
  <c r="BF23" i="22"/>
  <c r="CJ23" i="22" s="1"/>
  <c r="CK22" i="22"/>
  <c r="CJ22" i="22"/>
  <c r="CI22" i="22"/>
  <c r="CH22" i="22"/>
  <c r="CF22" i="22"/>
  <c r="CE22" i="22"/>
  <c r="CD22" i="22"/>
  <c r="CC22" i="22"/>
  <c r="CB22" i="22"/>
  <c r="CA22" i="22"/>
  <c r="BZ22" i="22"/>
  <c r="BY22" i="22"/>
  <c r="CK21" i="22"/>
  <c r="CJ21" i="22"/>
  <c r="CI21" i="22"/>
  <c r="CH21" i="22"/>
  <c r="CG21" i="22"/>
  <c r="CF21" i="22"/>
  <c r="CE21" i="22"/>
  <c r="CD21" i="22"/>
  <c r="CC21" i="22"/>
  <c r="CB21" i="22"/>
  <c r="CA21" i="22"/>
  <c r="BZ21" i="22"/>
  <c r="BY21" i="22"/>
  <c r="BS21" i="22"/>
  <c r="BD21" i="22"/>
  <c r="CK20" i="22"/>
  <c r="CJ20" i="22"/>
  <c r="CI20" i="22"/>
  <c r="CF20" i="22"/>
  <c r="CE20" i="22"/>
  <c r="CD20" i="22"/>
  <c r="CC20" i="22"/>
  <c r="CB20" i="22"/>
  <c r="CA20" i="22"/>
  <c r="BZ20" i="22"/>
  <c r="BY20" i="22"/>
  <c r="CK19" i="22"/>
  <c r="CJ19" i="22"/>
  <c r="CI19" i="22"/>
  <c r="CH19" i="22"/>
  <c r="CE19" i="22"/>
  <c r="CB19" i="22"/>
  <c r="CA19" i="22"/>
  <c r="BZ19" i="22"/>
  <c r="BY19" i="22"/>
  <c r="BN19" i="22"/>
  <c r="AY19" i="22"/>
  <c r="CC19" i="22" s="1"/>
  <c r="CK18" i="22"/>
  <c r="CJ18" i="22"/>
  <c r="CI18" i="22"/>
  <c r="CH18" i="22"/>
  <c r="CD18" i="22"/>
  <c r="CC18" i="22"/>
  <c r="CB18" i="22"/>
  <c r="BZ18" i="22"/>
  <c r="BY18" i="22"/>
  <c r="BR18" i="22"/>
  <c r="BQ18" i="22"/>
  <c r="BL18" i="22"/>
  <c r="BC18" i="22"/>
  <c r="CG18" i="22" s="1"/>
  <c r="BB18" i="22"/>
  <c r="CF18" i="22" s="1"/>
  <c r="BA18" i="22"/>
  <c r="CE18" i="22" s="1"/>
  <c r="AW18" i="22"/>
  <c r="CA18" i="22" s="1"/>
  <c r="CK17" i="22"/>
  <c r="CJ17" i="22"/>
  <c r="CI17" i="22"/>
  <c r="CH17" i="22"/>
  <c r="CG17" i="22"/>
  <c r="CF17" i="22"/>
  <c r="CC17" i="22"/>
  <c r="CB17" i="22"/>
  <c r="CA17" i="22"/>
  <c r="BZ17" i="22"/>
  <c r="BY17" i="22"/>
  <c r="BO17" i="22"/>
  <c r="BB17" i="22"/>
  <c r="BA17" i="22"/>
  <c r="CE17" i="22" s="1"/>
  <c r="AZ17" i="22"/>
  <c r="CD17" i="22" s="1"/>
  <c r="CK16" i="22"/>
  <c r="CJ16" i="22"/>
  <c r="CI16" i="22"/>
  <c r="CH16" i="22"/>
  <c r="CD16" i="22"/>
  <c r="CC16" i="22"/>
  <c r="CB16" i="22"/>
  <c r="BZ16" i="22"/>
  <c r="BY16" i="22"/>
  <c r="BP16" i="22"/>
  <c r="CE16" i="22" s="1"/>
  <c r="BL16" i="22"/>
  <c r="BA16" i="22"/>
  <c r="AW16" i="22"/>
  <c r="O16" i="22"/>
  <c r="O17" i="22" s="1"/>
  <c r="O18" i="22" s="1"/>
  <c r="O19" i="22" s="1"/>
  <c r="O20" i="22" s="1"/>
  <c r="O21" i="22" s="1"/>
  <c r="O22" i="22" s="1"/>
  <c r="O23" i="22" s="1"/>
  <c r="O24" i="22" s="1"/>
  <c r="O25" i="22" s="1"/>
  <c r="O26" i="22" s="1"/>
  <c r="O27" i="22" s="1"/>
  <c r="O28" i="22" s="1"/>
  <c r="CK15" i="22"/>
  <c r="CJ15" i="22"/>
  <c r="CI15" i="22"/>
  <c r="CH15" i="22"/>
  <c r="CF15" i="22"/>
  <c r="CE15" i="22"/>
  <c r="CD15" i="22"/>
  <c r="CC15" i="22"/>
  <c r="CA15" i="22"/>
  <c r="BZ15" i="22"/>
  <c r="BY15" i="22"/>
  <c r="BR15" i="22"/>
  <c r="BM15" i="22"/>
  <c r="BC15" i="22"/>
  <c r="CG15" i="22" s="1"/>
  <c r="AX15" i="22"/>
  <c r="CK14" i="22"/>
  <c r="CJ14" i="22"/>
  <c r="CI14" i="22"/>
  <c r="CH14" i="22"/>
  <c r="CG14" i="22"/>
  <c r="CF14" i="22"/>
  <c r="CE14" i="22"/>
  <c r="CD14" i="22"/>
  <c r="CC14" i="22"/>
  <c r="BZ14" i="22"/>
  <c r="AX14" i="22"/>
  <c r="CB14" i="22" s="1"/>
  <c r="AU14" i="22"/>
  <c r="U14" i="22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Q14" i="22"/>
  <c r="R14" i="22" s="1"/>
  <c r="S14" i="22" s="1"/>
  <c r="T14" i="22" s="1"/>
  <c r="CK13" i="22"/>
  <c r="CJ13" i="22"/>
  <c r="CI13" i="22"/>
  <c r="CH13" i="22"/>
  <c r="CG13" i="22"/>
  <c r="CF13" i="22"/>
  <c r="CE13" i="22"/>
  <c r="CD13" i="22"/>
  <c r="CC13" i="22"/>
  <c r="CB13" i="22"/>
  <c r="BY13" i="22"/>
  <c r="BL13" i="22"/>
  <c r="BK13" i="22"/>
  <c r="BZ13" i="22" s="1"/>
  <c r="AW13" i="22"/>
  <c r="CA13" i="22" s="1"/>
  <c r="AV13" i="22"/>
  <c r="BF40" i="21"/>
  <c r="BG39" i="21"/>
  <c r="BE39" i="21"/>
  <c r="BE24" i="21" s="1"/>
  <c r="BG38" i="21"/>
  <c r="BF38" i="21"/>
  <c r="BC37" i="21"/>
  <c r="BD36" i="21"/>
  <c r="BD21" i="21" s="1"/>
  <c r="BD35" i="21"/>
  <c r="BS20" i="21" s="1"/>
  <c r="BC35" i="21"/>
  <c r="BR20" i="21" s="1"/>
  <c r="BC34" i="21"/>
  <c r="BB34" i="21"/>
  <c r="BQ19" i="21" s="1"/>
  <c r="AZ34" i="21"/>
  <c r="AY34" i="21"/>
  <c r="AY19" i="21" s="1"/>
  <c r="BC33" i="21"/>
  <c r="BB33" i="21"/>
  <c r="BB18" i="21" s="1"/>
  <c r="CF18" i="21" s="1"/>
  <c r="BA33" i="21"/>
  <c r="BA18" i="21" s="1"/>
  <c r="AW33" i="21"/>
  <c r="AW18" i="21" s="1"/>
  <c r="BB32" i="21"/>
  <c r="BB17" i="21" s="1"/>
  <c r="BA32" i="21"/>
  <c r="BA17" i="21" s="1"/>
  <c r="AZ32" i="21"/>
  <c r="BC31" i="21"/>
  <c r="BB31" i="21"/>
  <c r="BA31" i="21"/>
  <c r="BA16" i="21" s="1"/>
  <c r="CE16" i="21" s="1"/>
  <c r="AW31" i="21"/>
  <c r="BC30" i="21"/>
  <c r="BC15" i="21" s="1"/>
  <c r="AX30" i="21"/>
  <c r="AX29" i="21"/>
  <c r="AX14" i="21" s="1"/>
  <c r="CB14" i="21" s="1"/>
  <c r="AW29" i="21"/>
  <c r="AU29" i="21"/>
  <c r="AW28" i="21"/>
  <c r="AV28" i="21"/>
  <c r="CK25" i="21"/>
  <c r="CJ25" i="21"/>
  <c r="CI25" i="21"/>
  <c r="CH25" i="21"/>
  <c r="CG25" i="21"/>
  <c r="CF25" i="21"/>
  <c r="CE25" i="21"/>
  <c r="CD25" i="21"/>
  <c r="CC25" i="21"/>
  <c r="CB25" i="21"/>
  <c r="CA25" i="21"/>
  <c r="BZ25" i="21"/>
  <c r="BY25" i="21"/>
  <c r="BU25" i="21"/>
  <c r="BF25" i="21"/>
  <c r="CJ24" i="21"/>
  <c r="CI24" i="21"/>
  <c r="CH24" i="21"/>
  <c r="CG24" i="21"/>
  <c r="CF24" i="21"/>
  <c r="CE24" i="21"/>
  <c r="CD24" i="21"/>
  <c r="CC24" i="21"/>
  <c r="CB24" i="21"/>
  <c r="CA24" i="21"/>
  <c r="BZ24" i="21"/>
  <c r="BY24" i="21"/>
  <c r="BV24" i="21"/>
  <c r="BT24" i="21"/>
  <c r="BG24" i="21"/>
  <c r="CK24" i="21" s="1"/>
  <c r="CI23" i="21"/>
  <c r="CH23" i="21"/>
  <c r="CG23" i="21"/>
  <c r="CF23" i="21"/>
  <c r="CE23" i="21"/>
  <c r="CD23" i="21"/>
  <c r="CC23" i="21"/>
  <c r="CB23" i="21"/>
  <c r="CA23" i="21"/>
  <c r="BZ23" i="21"/>
  <c r="BY23" i="21"/>
  <c r="BV23" i="21"/>
  <c r="BU23" i="21"/>
  <c r="BG23" i="21"/>
  <c r="CK23" i="21" s="1"/>
  <c r="BF23" i="21"/>
  <c r="CJ23" i="21" s="1"/>
  <c r="CK22" i="21"/>
  <c r="CJ22" i="21"/>
  <c r="CI22" i="21"/>
  <c r="CH22" i="21"/>
  <c r="CF22" i="21"/>
  <c r="CE22" i="21"/>
  <c r="CD22" i="21"/>
  <c r="CC22" i="21"/>
  <c r="CB22" i="21"/>
  <c r="CA22" i="21"/>
  <c r="BZ22" i="21"/>
  <c r="BY22" i="21"/>
  <c r="CK21" i="21"/>
  <c r="CJ21" i="21"/>
  <c r="CI21" i="21"/>
  <c r="CG21" i="21"/>
  <c r="CF21" i="21"/>
  <c r="CE21" i="21"/>
  <c r="CD21" i="21"/>
  <c r="CC21" i="21"/>
  <c r="CB21" i="21"/>
  <c r="CA21" i="21"/>
  <c r="BZ21" i="21"/>
  <c r="BY21" i="21"/>
  <c r="CK20" i="21"/>
  <c r="CJ20" i="21"/>
  <c r="CI20" i="21"/>
  <c r="CF20" i="21"/>
  <c r="CE20" i="21"/>
  <c r="CD20" i="21"/>
  <c r="CC20" i="21"/>
  <c r="CB20" i="21"/>
  <c r="CA20" i="21"/>
  <c r="BZ20" i="21"/>
  <c r="BY20" i="21"/>
  <c r="BD20" i="21"/>
  <c r="CH20" i="21" s="1"/>
  <c r="CK19" i="21"/>
  <c r="CJ19" i="21"/>
  <c r="CI19" i="21"/>
  <c r="CH19" i="21"/>
  <c r="CE19" i="21"/>
  <c r="CC19" i="21"/>
  <c r="CB19" i="21"/>
  <c r="CA19" i="21"/>
  <c r="BZ19" i="21"/>
  <c r="BY19" i="21"/>
  <c r="BR19" i="21"/>
  <c r="BO19" i="21"/>
  <c r="BN19" i="21"/>
  <c r="BC19" i="21"/>
  <c r="CG19" i="21" s="1"/>
  <c r="BB19" i="21"/>
  <c r="AZ19" i="21"/>
  <c r="CD19" i="21" s="1"/>
  <c r="CK18" i="21"/>
  <c r="CJ18" i="21"/>
  <c r="CI18" i="21"/>
  <c r="CH18" i="21"/>
  <c r="CG18" i="21"/>
  <c r="CD18" i="21"/>
  <c r="CC18" i="21"/>
  <c r="CB18" i="21"/>
  <c r="BZ18" i="21"/>
  <c r="BY18" i="21"/>
  <c r="BR18" i="21"/>
  <c r="BQ18" i="21"/>
  <c r="BP18" i="21"/>
  <c r="CE18" i="21" s="1"/>
  <c r="BL18" i="21"/>
  <c r="BC18" i="21"/>
  <c r="CK17" i="21"/>
  <c r="CJ17" i="21"/>
  <c r="CI17" i="21"/>
  <c r="CH17" i="21"/>
  <c r="CG17" i="21"/>
  <c r="CC17" i="21"/>
  <c r="CB17" i="21"/>
  <c r="CA17" i="21"/>
  <c r="BZ17" i="21"/>
  <c r="BY17" i="21"/>
  <c r="BP17" i="21"/>
  <c r="BO17" i="21"/>
  <c r="AZ17" i="21"/>
  <c r="O17" i="21"/>
  <c r="O18" i="21" s="1"/>
  <c r="O19" i="21" s="1"/>
  <c r="O20" i="21" s="1"/>
  <c r="O21" i="21" s="1"/>
  <c r="O22" i="21" s="1"/>
  <c r="O23" i="21" s="1"/>
  <c r="O24" i="21" s="1"/>
  <c r="O25" i="21" s="1"/>
  <c r="O26" i="21" s="1"/>
  <c r="O27" i="21" s="1"/>
  <c r="O28" i="21" s="1"/>
  <c r="CK16" i="21"/>
  <c r="CJ16" i="21"/>
  <c r="CI16" i="21"/>
  <c r="CH16" i="21"/>
  <c r="CD16" i="21"/>
  <c r="CC16" i="21"/>
  <c r="CB16" i="21"/>
  <c r="BZ16" i="21"/>
  <c r="BY16" i="21"/>
  <c r="BR16" i="21"/>
  <c r="CG16" i="21" s="1"/>
  <c r="BQ16" i="21"/>
  <c r="CF16" i="21" s="1"/>
  <c r="BP16" i="21"/>
  <c r="BL16" i="21"/>
  <c r="BC16" i="21"/>
  <c r="BB16" i="21"/>
  <c r="AW16" i="21"/>
  <c r="CA16" i="21" s="1"/>
  <c r="O16" i="21"/>
  <c r="CK15" i="21"/>
  <c r="CJ15" i="21"/>
  <c r="CI15" i="21"/>
  <c r="CH15" i="21"/>
  <c r="CF15" i="21"/>
  <c r="CE15" i="21"/>
  <c r="CD15" i="21"/>
  <c r="CC15" i="21"/>
  <c r="CA15" i="21"/>
  <c r="BZ15" i="21"/>
  <c r="BY15" i="21"/>
  <c r="CK14" i="21"/>
  <c r="CJ14" i="21"/>
  <c r="CI14" i="21"/>
  <c r="CH14" i="21"/>
  <c r="CG14" i="21"/>
  <c r="CF14" i="21"/>
  <c r="CE14" i="21"/>
  <c r="CD14" i="21"/>
  <c r="CC14" i="21"/>
  <c r="BZ14" i="21"/>
  <c r="BM14" i="21"/>
  <c r="BL14" i="21"/>
  <c r="CA14" i="21" s="1"/>
  <c r="BJ14" i="21"/>
  <c r="BY14" i="21" s="1"/>
  <c r="AW14" i="21"/>
  <c r="AU14" i="21"/>
  <c r="Q14" i="2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CK13" i="21"/>
  <c r="CJ13" i="21"/>
  <c r="CI13" i="21"/>
  <c r="CH13" i="21"/>
  <c r="CG13" i="21"/>
  <c r="CF13" i="21"/>
  <c r="CE13" i="21"/>
  <c r="CD13" i="21"/>
  <c r="CC13" i="21"/>
  <c r="CB13" i="21"/>
  <c r="BZ13" i="21"/>
  <c r="BY13" i="21"/>
  <c r="BK13" i="21"/>
  <c r="AV13" i="21"/>
  <c r="CM11" i="20" l="1"/>
  <c r="CM13" i="20" s="1"/>
  <c r="BL18" i="24"/>
  <c r="CA18" i="24" s="1"/>
  <c r="CG15" i="21"/>
  <c r="CA14" i="24"/>
  <c r="CF16" i="24"/>
  <c r="BR15" i="21"/>
  <c r="CD17" i="21"/>
  <c r="BC20" i="21"/>
  <c r="CG20" i="21" s="1"/>
  <c r="AW16" i="23"/>
  <c r="CA16" i="23" s="1"/>
  <c r="BV23" i="23"/>
  <c r="CK23" i="23" s="1"/>
  <c r="BB18" i="23"/>
  <c r="CF18" i="23" s="1"/>
  <c r="BQ18" i="23"/>
  <c r="BF23" i="23"/>
  <c r="BU23" i="23"/>
  <c r="AX15" i="24"/>
  <c r="BM15" i="24"/>
  <c r="BT24" i="23"/>
  <c r="BE24" i="23"/>
  <c r="CG18" i="23"/>
  <c r="CE17" i="21"/>
  <c r="AW14" i="22"/>
  <c r="CA14" i="22" s="1"/>
  <c r="CA16" i="22"/>
  <c r="BG24" i="23"/>
  <c r="BV24" i="23"/>
  <c r="BM29" i="21"/>
  <c r="BB19" i="22"/>
  <c r="BQ19" i="22"/>
  <c r="BO19" i="23"/>
  <c r="CD19" i="23" s="1"/>
  <c r="BR18" i="23"/>
  <c r="BM29" i="23"/>
  <c r="BK13" i="23"/>
  <c r="AY19" i="23"/>
  <c r="CC19" i="23" s="1"/>
  <c r="BN19" i="23"/>
  <c r="BQ17" i="21"/>
  <c r="CF17" i="21" s="1"/>
  <c r="CF19" i="21"/>
  <c r="CA18" i="21"/>
  <c r="BS21" i="21"/>
  <c r="CH21" i="21" s="1"/>
  <c r="BM15" i="21"/>
  <c r="AX15" i="21"/>
  <c r="BC22" i="21"/>
  <c r="CG22" i="21" s="1"/>
  <c r="BR22" i="21"/>
  <c r="BB16" i="22"/>
  <c r="CF16" i="22" s="1"/>
  <c r="BG24" i="22"/>
  <c r="CK24" i="22" s="1"/>
  <c r="BC19" i="22"/>
  <c r="BR19" i="22"/>
  <c r="AV13" i="23"/>
  <c r="BZ13" i="23" s="1"/>
  <c r="CA16" i="24"/>
  <c r="CB15" i="22"/>
  <c r="BC16" i="22"/>
  <c r="CG16" i="22" s="1"/>
  <c r="AZ19" i="22"/>
  <c r="CD19" i="22" s="1"/>
  <c r="BM29" i="22"/>
  <c r="BJ14" i="22"/>
  <c r="BY14" i="22" s="1"/>
  <c r="BR20" i="22"/>
  <c r="BC20" i="22"/>
  <c r="AW13" i="23"/>
  <c r="CA13" i="23" s="1"/>
  <c r="CG20" i="23"/>
  <c r="BQ17" i="24"/>
  <c r="CF17" i="24" s="1"/>
  <c r="CG19" i="24"/>
  <c r="AW13" i="21"/>
  <c r="BC22" i="22"/>
  <c r="CG22" i="22" s="1"/>
  <c r="BQ17" i="23"/>
  <c r="CF17" i="23" s="1"/>
  <c r="BD21" i="24"/>
  <c r="CH21" i="24" s="1"/>
  <c r="BL13" i="21"/>
  <c r="BR20" i="23"/>
  <c r="BR15" i="24"/>
  <c r="CG15" i="24" s="1"/>
  <c r="BA17" i="23"/>
  <c r="CE17" i="23" s="1"/>
  <c r="BC22" i="24"/>
  <c r="CG22" i="24" s="1"/>
  <c r="BD20" i="22"/>
  <c r="CH20" i="22" s="1"/>
  <c r="AV13" i="24"/>
  <c r="BZ13" i="24" s="1"/>
  <c r="BA8" i="20"/>
  <c r="CA13" i="21" l="1"/>
  <c r="CB15" i="21"/>
  <c r="CJ23" i="23"/>
  <c r="BM28" i="23" s="1"/>
  <c r="BM30" i="23" s="1"/>
  <c r="CF19" i="22"/>
  <c r="BM28" i="22" s="1"/>
  <c r="BM30" i="22" s="1"/>
  <c r="CG20" i="22"/>
  <c r="CG19" i="22"/>
  <c r="CI24" i="23"/>
  <c r="CK24" i="23"/>
  <c r="CB15" i="24"/>
  <c r="BM28" i="21" l="1"/>
  <c r="BM30" i="21" s="1"/>
  <c r="BT10" i="20" l="1"/>
  <c r="BU10" i="20" s="1"/>
  <c r="BV10" i="20" s="1"/>
  <c r="BW10" i="20" s="1"/>
  <c r="BX10" i="20" s="1"/>
  <c r="BY10" i="20" s="1"/>
  <c r="BZ10" i="20" s="1"/>
  <c r="CA10" i="20" s="1"/>
  <c r="AW12" i="20"/>
  <c r="AW13" i="20" s="1"/>
  <c r="AW14" i="20" s="1"/>
  <c r="AW15" i="20" s="1"/>
  <c r="AW16" i="20" s="1"/>
  <c r="AW17" i="20" s="1"/>
  <c r="AW18" i="20" s="1"/>
  <c r="AW19" i="20" s="1"/>
  <c r="AW20" i="20" s="1"/>
  <c r="AW21" i="20" s="1"/>
  <c r="AW22" i="20" s="1"/>
  <c r="AW23" i="20" s="1"/>
  <c r="AW24" i="20" s="1"/>
  <c r="AW25" i="20" s="1"/>
  <c r="AW26" i="20" s="1"/>
  <c r="AW27" i="20" s="1"/>
  <c r="AW28" i="20" s="1"/>
  <c r="AW29" i="20" s="1"/>
  <c r="AW30" i="20" s="1"/>
  <c r="AW31" i="20" s="1"/>
  <c r="AW32" i="20" s="1"/>
  <c r="AW33" i="20" s="1"/>
  <c r="AW34" i="20" s="1"/>
  <c r="AW35" i="20" s="1"/>
  <c r="AW36" i="20" s="1"/>
  <c r="AW37" i="20" s="1"/>
  <c r="AW38" i="20" s="1"/>
  <c r="AW39" i="20" s="1"/>
  <c r="AW40" i="20" s="1"/>
  <c r="R12" i="20"/>
  <c r="R13" i="20" s="1"/>
  <c r="R14" i="20" s="1"/>
  <c r="R15" i="20" s="1"/>
  <c r="R16" i="20" s="1"/>
  <c r="R17" i="20" s="1"/>
  <c r="R18" i="20" s="1"/>
  <c r="R19" i="20" s="1"/>
  <c r="R20" i="20" s="1"/>
  <c r="R21" i="20" s="1"/>
  <c r="R22" i="20" s="1"/>
  <c r="R23" i="20" s="1"/>
  <c r="R24" i="20" s="1"/>
  <c r="R25" i="20" s="1"/>
  <c r="R26" i="20" s="1"/>
  <c r="R27" i="20" s="1"/>
  <c r="R28" i="20" s="1"/>
  <c r="R29" i="20" s="1"/>
  <c r="R30" i="20" s="1"/>
  <c r="R31" i="20" s="1"/>
  <c r="R32" i="20" s="1"/>
  <c r="R33" i="20" s="1"/>
  <c r="R34" i="20" s="1"/>
  <c r="R35" i="20" s="1"/>
  <c r="R36" i="20" s="1"/>
  <c r="R37" i="20" s="1"/>
  <c r="R38" i="20" s="1"/>
  <c r="R39" i="20" s="1"/>
  <c r="R40" i="20" s="1"/>
  <c r="R41" i="20" s="1"/>
  <c r="R42" i="20" s="1"/>
  <c r="AY10" i="20"/>
  <c r="AZ10" i="20" s="1"/>
  <c r="BA10" i="20" s="1"/>
  <c r="BB10" i="20" s="1"/>
  <c r="BC10" i="20" s="1"/>
  <c r="BD10" i="20" s="1"/>
  <c r="BE10" i="20" s="1"/>
  <c r="BF10" i="20" s="1"/>
  <c r="BG10" i="20" s="1"/>
  <c r="BH10" i="20" s="1"/>
  <c r="BI10" i="20" s="1"/>
  <c r="BJ10" i="20" s="1"/>
  <c r="BK10" i="20" s="1"/>
  <c r="BL10" i="20" s="1"/>
  <c r="BM10" i="20" s="1"/>
  <c r="BN10" i="20" s="1"/>
  <c r="BO10" i="20" s="1"/>
  <c r="BP10" i="20" s="1"/>
  <c r="BQ10" i="20" s="1"/>
  <c r="BR10" i="20" s="1"/>
  <c r="BS10" i="20" s="1"/>
  <c r="T10" i="20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AH10" i="20" s="1"/>
  <c r="AI10" i="20" s="1"/>
  <c r="AJ10" i="20" s="1"/>
  <c r="AK10" i="20" s="1"/>
  <c r="AL10" i="20" s="1"/>
  <c r="AM10" i="20" s="1"/>
  <c r="AN10" i="20" s="1"/>
  <c r="O19" i="3" l="1"/>
  <c r="O17" i="3"/>
  <c r="O14" i="3"/>
  <c r="O13" i="3"/>
  <c r="O11" i="3"/>
  <c r="O10" i="3"/>
  <c r="O9" i="3"/>
  <c r="O16" i="3"/>
  <c r="O18" i="3"/>
  <c r="O20" i="3"/>
  <c r="P16" i="3"/>
  <c r="O15" i="3"/>
  <c r="O12" i="3"/>
  <c r="P15" i="3"/>
  <c r="P12" i="3"/>
  <c r="O8" i="3"/>
  <c r="N16" i="3"/>
  <c r="N19" i="3"/>
  <c r="P19" i="3" s="1"/>
  <c r="N20" i="3"/>
  <c r="P20" i="3" s="1"/>
  <c r="M8" i="3"/>
  <c r="N8" i="3" s="1"/>
  <c r="P8" i="3" s="1"/>
  <c r="N27" i="4"/>
  <c r="O27" i="4" s="1"/>
  <c r="P27" i="4" s="1"/>
  <c r="Q27" i="4" s="1"/>
  <c r="M27" i="4"/>
  <c r="Q9" i="3"/>
  <c r="Q10" i="3"/>
  <c r="Q11" i="3"/>
  <c r="Q12" i="3"/>
  <c r="Q13" i="3"/>
  <c r="Q14" i="3"/>
  <c r="Q15" i="3"/>
  <c r="Q16" i="3"/>
  <c r="Q17" i="3"/>
  <c r="Q18" i="3"/>
  <c r="Q19" i="3"/>
  <c r="Q20" i="3"/>
  <c r="Q8" i="3"/>
  <c r="M14" i="3"/>
  <c r="N14" i="3" s="1"/>
  <c r="P14" i="3" s="1"/>
  <c r="M13" i="3"/>
  <c r="N13" i="3" s="1"/>
  <c r="P13" i="3" s="1"/>
  <c r="M9" i="3"/>
  <c r="N9" i="3" s="1"/>
  <c r="P9" i="3" s="1"/>
  <c r="M19" i="3"/>
  <c r="M17" i="3"/>
  <c r="N17" i="3" s="1"/>
  <c r="P17" i="3" s="1"/>
  <c r="M10" i="3"/>
  <c r="N10" i="3" s="1"/>
  <c r="P10" i="3" s="1"/>
  <c r="M11" i="3"/>
  <c r="N11" i="3" s="1"/>
  <c r="P11" i="3" s="1"/>
  <c r="M18" i="3"/>
  <c r="N18" i="3" s="1"/>
  <c r="P18" i="3" s="1"/>
  <c r="M16" i="3"/>
  <c r="M15" i="3"/>
  <c r="N15" i="3" s="1"/>
  <c r="M20" i="3"/>
  <c r="M12" i="3"/>
  <c r="N12" i="3" s="1"/>
  <c r="T9" i="1" l="1"/>
  <c r="U9" i="1" s="1"/>
  <c r="S9" i="1"/>
  <c r="T5" i="1"/>
  <c r="U8" i="1"/>
  <c r="T8" i="1"/>
  <c r="S8" i="1"/>
  <c r="U6" i="1"/>
  <c r="U7" i="1" s="1"/>
  <c r="U5" i="1"/>
  <c r="T7" i="1"/>
  <c r="T6" i="1"/>
  <c r="S3" i="1"/>
  <c r="S7" i="1"/>
  <c r="S6" i="1"/>
  <c r="S5" i="1"/>
</calcChain>
</file>

<file path=xl/sharedStrings.xml><?xml version="1.0" encoding="utf-8"?>
<sst xmlns="http://schemas.openxmlformats.org/spreadsheetml/2006/main" count="778" uniqueCount="120">
  <si>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</si>
  <si>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</si>
  <si>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</si>
  <si>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</si>
  <si>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</si>
  <si>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</si>
  <si>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</si>
  <si>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</si>
  <si>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</si>
  <si>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</si>
  <si>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</si>
  <si>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</si>
  <si>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</si>
  <si>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Highest flow</t>
  </si>
  <si>
    <t xml:space="preserve">I-&gt;J </t>
  </si>
  <si>
    <t>C-&gt;D</t>
  </si>
  <si>
    <t>Next</t>
  </si>
  <si>
    <t xml:space="preserve">L-&gt;M, E-&gt;F,D-&gt;I </t>
  </si>
  <si>
    <t>Total Flow</t>
  </si>
  <si>
    <t>% of total flow</t>
  </si>
  <si>
    <t>Cum flow%</t>
  </si>
  <si>
    <t>A-&gt;B,B-&gt;C,E-&gt;G,F-&gt;G,G-&gt;H</t>
  </si>
  <si>
    <t>B-&gt;A,H-&gt;I, K-&gt;M,L-&gt;K, M-&gt;L</t>
  </si>
  <si>
    <t>Process</t>
  </si>
  <si>
    <t>Total_Workload_Min</t>
  </si>
  <si>
    <t>Workload_per_Center_Min</t>
  </si>
  <si>
    <t>Equipment_per_Center</t>
  </si>
  <si>
    <t>Total_Equipment</t>
  </si>
  <si>
    <t>Utilization_per_Center</t>
  </si>
  <si>
    <t>Base_Capacity_per_Equipment</t>
  </si>
  <si>
    <t>4 fractal Aggregate_Factory_Flow_Matrix</t>
  </si>
  <si>
    <t>Per fractal centre</t>
  </si>
  <si>
    <t>Highest green</t>
  </si>
  <si>
    <t>Lowest red</t>
  </si>
  <si>
    <t>KLM</t>
  </si>
  <si>
    <t>Area per eqp ft2</t>
  </si>
  <si>
    <t>Total area of each eqp centre ft2</t>
  </si>
  <si>
    <t>EFG</t>
  </si>
  <si>
    <t>ABCD</t>
  </si>
  <si>
    <t>HIJ</t>
  </si>
  <si>
    <t xml:space="preserve">L </t>
  </si>
  <si>
    <t>W</t>
  </si>
  <si>
    <t>B-&gt;D,C-&gt;I,D-&gt;C,D-&gt;G,E-&gt;H,F-&gt;C,F-&gt;H,F-&gt;I,G-&gt;e,G-&gt;F,G-&gt;I,H-&gt;J,J-&gt;I,K-&gt;L</t>
  </si>
  <si>
    <t>balance</t>
  </si>
  <si>
    <t>Thickest for highest flow</t>
  </si>
  <si>
    <t>Total flow per fractal</t>
  </si>
  <si>
    <t xml:space="preserve">Make all cells equal in size as a square </t>
  </si>
  <si>
    <t>refer to No. of eqp for sizing</t>
  </si>
  <si>
    <t>J is 80x84 so here 8 blocks by 8 blocks size</t>
  </si>
  <si>
    <t>M is 70 x78 so 7 x 8 here</t>
  </si>
  <si>
    <t>L 6x6</t>
  </si>
  <si>
    <t>H 6x7</t>
  </si>
  <si>
    <t>I 6x6</t>
  </si>
  <si>
    <t>D 5x6</t>
  </si>
  <si>
    <t>F 5x6</t>
  </si>
  <si>
    <t>A/G/C/K</t>
  </si>
  <si>
    <t>3x3</t>
  </si>
  <si>
    <t>for simplicity</t>
  </si>
  <si>
    <t>B 4x5</t>
  </si>
  <si>
    <t>E 5x5</t>
  </si>
  <si>
    <t>Link arrows from step 3</t>
  </si>
  <si>
    <t>size means importance of flow</t>
  </si>
  <si>
    <t>thicker ones near by</t>
  </si>
  <si>
    <t>Incidently K,L, M do not seem to have any other interaction with other groups of eqp</t>
  </si>
  <si>
    <t xml:space="preserve">connect arrows </t>
  </si>
  <si>
    <t>others</t>
  </si>
  <si>
    <t>Make planar flow (no intersecting flows</t>
  </si>
  <si>
    <t>X</t>
  </si>
  <si>
    <t>total distance</t>
  </si>
  <si>
    <t>Distance per trip</t>
  </si>
  <si>
    <t>Per Fractile Centre Area</t>
  </si>
  <si>
    <t xml:space="preserve">Per eqp </t>
  </si>
  <si>
    <t>Per centre Area</t>
  </si>
  <si>
    <t>XY coordinates</t>
  </si>
  <si>
    <t>y</t>
  </si>
  <si>
    <t>Total Trip</t>
  </si>
  <si>
    <t>Trip</t>
  </si>
  <si>
    <t>Total Area</t>
  </si>
  <si>
    <t>ft2</t>
  </si>
  <si>
    <t>centre to centre distance (X axis)</t>
  </si>
  <si>
    <t>centre to centre distance (Y axis)</t>
  </si>
  <si>
    <t>Dist</t>
  </si>
  <si>
    <t>1unit</t>
  </si>
  <si>
    <t>10FT</t>
  </si>
  <si>
    <t>40FT</t>
  </si>
  <si>
    <t>Total Equipment Cost</t>
  </si>
  <si>
    <t>Equipment cost</t>
  </si>
  <si>
    <t>Equipment</t>
  </si>
  <si>
    <t>Installed price</t>
  </si>
  <si>
    <t>Equipment/Center</t>
  </si>
  <si>
    <t>Utilization</t>
  </si>
  <si>
    <t xml:space="preserve">Cost </t>
  </si>
  <si>
    <t>Total cost</t>
  </si>
  <si>
    <t>AB</t>
  </si>
  <si>
    <t>AC</t>
  </si>
  <si>
    <t>CD</t>
  </si>
  <si>
    <t>ABC</t>
  </si>
  <si>
    <t>EF</t>
  </si>
  <si>
    <t>TOTAL</t>
  </si>
  <si>
    <t>EG</t>
  </si>
  <si>
    <t>FG</t>
  </si>
  <si>
    <t>Total Area Cost</t>
  </si>
  <si>
    <t>IJ</t>
  </si>
  <si>
    <t>Overall total cost</t>
  </si>
  <si>
    <t>Total area</t>
  </si>
  <si>
    <t>Cost per Sqft</t>
  </si>
  <si>
    <t xml:space="preserve">Total </t>
  </si>
  <si>
    <t>KL</t>
  </si>
  <si>
    <t>KM</t>
  </si>
  <si>
    <t>LM</t>
  </si>
  <si>
    <t>Ti</t>
  </si>
  <si>
    <t>Process Centre</t>
  </si>
  <si>
    <t>Equipment Type</t>
  </si>
  <si>
    <t>Operator type</t>
  </si>
  <si>
    <t>Total equipements per centre</t>
  </si>
  <si>
    <t xml:space="preserve">Total no of operators </t>
  </si>
  <si>
    <t>C1</t>
  </si>
  <si>
    <t>C2</t>
  </si>
  <si>
    <t>C3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</si>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</sst>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_([$$-409]* #,##0_);_([$$-409]* \(#,##0\);_([$$-409]* &quot;-&quot;_);_(@_)"/>
    <numFmt numFmtId="166" formatCode="_(&quot;$&quot;* #,##0_);_(&quot;$&quot;* \(#,##0\);_(&quot;$&quot;* &quot;-&quot;??_);_(@_)"/>
  </numFmts>
  <fonts count="1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color indexed="8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6"/>
      <color indexed="8"/>
      <name val="Helvetica Neue"/>
      <family val="2"/>
    </font>
    <font>
      <sz val="10"/>
      <color theme="0"/>
      <name val="Helvetica Neue"/>
      <family val="2"/>
    </font>
    <font>
      <b/>
      <sz val="12"/>
      <color theme="1"/>
      <name val="Helvetica Neue"/>
      <family val="2"/>
      <scheme val="minor"/>
    </font>
    <font>
      <b/>
      <sz val="10"/>
      <color rgb="FF1F2328"/>
      <name val="Arial"/>
      <family val="2"/>
    </font>
    <font>
      <sz val="10"/>
      <color rgb="FF1F2328"/>
      <name val="Arial"/>
      <family val="2"/>
    </font>
    <font>
      <b/>
      <sz val="10"/>
      <color rgb="FF1B1C1D"/>
      <name val="Arial"/>
      <family val="2"/>
    </font>
    <font>
      <sz val="10"/>
      <color rgb="FF1B1C1D"/>
      <name val="Arial"/>
      <family val="2"/>
    </font>
    <font>
      <i/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 applyNumberFormat="0" applyFill="0" applyBorder="0" applyProtection="0">
      <alignment vertical="top" wrapText="1"/>
    </xf>
    <xf numFmtId="9" fontId="3" fillId="0" borderId="0" applyFont="0" applyFill="0" applyBorder="0" applyAlignment="0" applyProtection="0"/>
    <xf numFmtId="0" fontId="3" fillId="0" borderId="0" applyNumberFormat="0" applyFill="0" applyBorder="0" applyProtection="0">
      <alignment vertical="top" wrapText="1"/>
    </xf>
    <xf numFmtId="44" fontId="3" fillId="0" borderId="0" applyFont="0" applyFill="0" applyBorder="0" applyAlignment="0" applyProtection="0"/>
  </cellStyleXfs>
  <cellXfs count="13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1" fontId="2" fillId="3" borderId="2" xfId="0" applyNumberFormat="1" applyFont="1" applyFill="1" applyBorder="1" applyAlignment="1">
      <alignment vertical="top"/>
    </xf>
    <xf numFmtId="1" fontId="0" fillId="0" borderId="3" xfId="0" applyNumberFormat="1" applyBorder="1" applyAlignment="1">
      <alignment vertical="top"/>
    </xf>
    <xf numFmtId="1" fontId="0" fillId="0" borderId="4" xfId="0" applyNumberFormat="1" applyBorder="1" applyAlignment="1">
      <alignment vertical="top"/>
    </xf>
    <xf numFmtId="1" fontId="0" fillId="0" borderId="0" xfId="0" applyNumberFormat="1" applyAlignment="1">
      <alignment vertical="top"/>
    </xf>
    <xf numFmtId="1" fontId="2" fillId="3" borderId="5" xfId="0" applyNumberFormat="1" applyFont="1" applyFill="1" applyBorder="1" applyAlignment="1">
      <alignment vertical="top"/>
    </xf>
    <xf numFmtId="1" fontId="0" fillId="0" borderId="6" xfId="0" applyNumberFormat="1" applyBorder="1" applyAlignment="1">
      <alignment vertical="top"/>
    </xf>
    <xf numFmtId="1" fontId="0" fillId="0" borderId="7" xfId="0" applyNumberFormat="1" applyBorder="1" applyAlignment="1">
      <alignment vertical="top"/>
    </xf>
    <xf numFmtId="1" fontId="3" fillId="0" borderId="0" xfId="0" applyNumberFormat="1" applyFont="1" applyAlignment="1">
      <alignment vertical="top"/>
    </xf>
    <xf numFmtId="1" fontId="4" fillId="0" borderId="0" xfId="0" applyNumberFormat="1" applyFont="1" applyAlignment="1">
      <alignment vertical="top"/>
    </xf>
    <xf numFmtId="9" fontId="4" fillId="0" borderId="0" xfId="1" applyFont="1" applyAlignment="1">
      <alignment vertical="top"/>
    </xf>
    <xf numFmtId="1" fontId="4" fillId="0" borderId="0" xfId="0" applyNumberFormat="1" applyFont="1" applyAlignment="1">
      <alignment horizontal="right" vertical="top"/>
    </xf>
    <xf numFmtId="1" fontId="3" fillId="4" borderId="0" xfId="0" applyNumberFormat="1" applyFont="1" applyFill="1" applyAlignment="1">
      <alignment vertical="top"/>
    </xf>
    <xf numFmtId="1" fontId="0" fillId="4" borderId="0" xfId="0" applyNumberFormat="1" applyFill="1" applyAlignment="1">
      <alignment vertical="top"/>
    </xf>
    <xf numFmtId="0" fontId="0" fillId="4" borderId="0" xfId="0" applyFill="1">
      <alignment vertical="top" wrapText="1"/>
    </xf>
    <xf numFmtId="1" fontId="4" fillId="4" borderId="0" xfId="0" applyNumberFormat="1" applyFont="1" applyFill="1" applyAlignment="1">
      <alignment horizontal="right" vertical="top"/>
    </xf>
    <xf numFmtId="1" fontId="4" fillId="4" borderId="0" xfId="0" applyNumberFormat="1" applyFont="1" applyFill="1" applyAlignment="1">
      <alignment vertical="top"/>
    </xf>
    <xf numFmtId="9" fontId="4" fillId="4" borderId="0" xfId="1" applyFont="1" applyFill="1" applyAlignment="1">
      <alignment vertical="top"/>
    </xf>
    <xf numFmtId="1" fontId="4" fillId="5" borderId="0" xfId="0" applyNumberFormat="1" applyFont="1" applyFill="1" applyAlignment="1">
      <alignment horizontal="right" vertical="top"/>
    </xf>
    <xf numFmtId="0" fontId="0" fillId="5" borderId="0" xfId="0" applyFill="1">
      <alignment vertical="top" wrapText="1"/>
    </xf>
    <xf numFmtId="0" fontId="3" fillId="0" borderId="0" xfId="0" applyFont="1">
      <alignment vertical="top" wrapText="1"/>
    </xf>
    <xf numFmtId="0" fontId="6" fillId="0" borderId="0" xfId="0" applyFont="1">
      <alignment vertical="top" wrapText="1"/>
    </xf>
    <xf numFmtId="1" fontId="5" fillId="0" borderId="0" xfId="0" applyNumberFormat="1" applyFont="1">
      <alignment vertical="top" wrapText="1"/>
    </xf>
    <xf numFmtId="1" fontId="0" fillId="0" borderId="0" xfId="0" applyNumberFormat="1">
      <alignment vertical="top" wrapText="1"/>
    </xf>
    <xf numFmtId="0" fontId="3" fillId="6" borderId="0" xfId="0" applyFont="1" applyFill="1">
      <alignment vertical="top" wrapText="1"/>
    </xf>
    <xf numFmtId="0" fontId="3" fillId="7" borderId="0" xfId="0" applyFont="1" applyFill="1">
      <alignment vertical="top" wrapText="1"/>
    </xf>
    <xf numFmtId="0" fontId="6" fillId="8" borderId="0" xfId="0" applyFont="1" applyFill="1">
      <alignment vertical="top" wrapText="1"/>
    </xf>
    <xf numFmtId="0" fontId="0" fillId="8" borderId="0" xfId="0" applyFill="1">
      <alignment vertical="top" wrapText="1"/>
    </xf>
    <xf numFmtId="1" fontId="3" fillId="5" borderId="0" xfId="0" applyNumberFormat="1" applyFont="1" applyFill="1" applyAlignment="1">
      <alignment vertical="top"/>
    </xf>
    <xf numFmtId="1" fontId="0" fillId="5" borderId="0" xfId="0" applyNumberFormat="1" applyFill="1" applyAlignment="1">
      <alignment vertical="top"/>
    </xf>
    <xf numFmtId="0" fontId="3" fillId="4" borderId="0" xfId="0" applyFont="1" applyFill="1">
      <alignment vertical="top" wrapText="1"/>
    </xf>
    <xf numFmtId="0" fontId="0" fillId="4" borderId="0" xfId="0" applyFill="1" applyAlignment="1">
      <alignment vertical="top"/>
    </xf>
    <xf numFmtId="0" fontId="3" fillId="4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4" borderId="0" xfId="0" applyFont="1" applyFill="1" applyAlignment="1">
      <alignment vertical="top"/>
    </xf>
    <xf numFmtId="0" fontId="3" fillId="5" borderId="0" xfId="0" applyFont="1" applyFill="1">
      <alignment vertical="top" wrapText="1"/>
    </xf>
    <xf numFmtId="0" fontId="0" fillId="9" borderId="0" xfId="0" applyFill="1">
      <alignment vertical="top" wrapText="1"/>
    </xf>
    <xf numFmtId="0" fontId="0" fillId="4" borderId="0" xfId="0" applyFill="1" applyBorder="1">
      <alignment vertical="top" wrapText="1"/>
    </xf>
    <xf numFmtId="0" fontId="3" fillId="4" borderId="0" xfId="0" applyFont="1" applyFill="1" applyBorder="1" applyAlignment="1">
      <alignment vertical="top"/>
    </xf>
    <xf numFmtId="0" fontId="0" fillId="4" borderId="0" xfId="0" applyFill="1" applyBorder="1" applyAlignment="1">
      <alignment vertical="top"/>
    </xf>
    <xf numFmtId="0" fontId="7" fillId="4" borderId="0" xfId="0" applyFont="1" applyFill="1" applyBorder="1">
      <alignment vertical="top" wrapText="1"/>
    </xf>
    <xf numFmtId="0" fontId="7" fillId="4" borderId="0" xfId="0" applyFont="1" applyFill="1" applyBorder="1" applyAlignment="1">
      <alignment vertical="top"/>
    </xf>
    <xf numFmtId="0" fontId="3" fillId="4" borderId="0" xfId="0" applyFont="1" applyFill="1" applyBorder="1">
      <alignment vertical="top" wrapText="1"/>
    </xf>
    <xf numFmtId="0" fontId="0" fillId="5" borderId="0" xfId="0" applyFill="1" applyBorder="1">
      <alignment vertical="top" wrapText="1"/>
    </xf>
    <xf numFmtId="0" fontId="0" fillId="4" borderId="0" xfId="0" applyFill="1" applyBorder="1" applyAlignment="1">
      <alignment horizontal="center" vertical="top" wrapText="1"/>
    </xf>
    <xf numFmtId="0" fontId="3" fillId="4" borderId="0" xfId="0" applyFont="1" applyFill="1" applyBorder="1" applyAlignment="1">
      <alignment horizontal="center" vertical="top" wrapText="1"/>
    </xf>
    <xf numFmtId="0" fontId="0" fillId="4" borderId="12" xfId="0" applyFill="1" applyBorder="1">
      <alignment vertical="top" wrapText="1"/>
    </xf>
    <xf numFmtId="0" fontId="0" fillId="4" borderId="14" xfId="0" applyFill="1" applyBorder="1">
      <alignment vertical="top" wrapText="1"/>
    </xf>
    <xf numFmtId="0" fontId="0" fillId="4" borderId="15" xfId="0" applyFill="1" applyBorder="1">
      <alignment vertical="top" wrapText="1"/>
    </xf>
    <xf numFmtId="0" fontId="0" fillId="4" borderId="0" xfId="0" applyFill="1" applyBorder="1" applyAlignment="1">
      <alignment horizontal="right" wrapText="1"/>
    </xf>
    <xf numFmtId="0" fontId="3" fillId="4" borderId="8" xfId="0" applyFont="1" applyFill="1" applyBorder="1" applyAlignment="1">
      <alignment vertical="top"/>
    </xf>
    <xf numFmtId="0" fontId="0" fillId="4" borderId="9" xfId="0" applyFill="1" applyBorder="1" applyAlignment="1">
      <alignment horizontal="right" wrapText="1"/>
    </xf>
    <xf numFmtId="0" fontId="3" fillId="4" borderId="9" xfId="0" applyFont="1" applyFill="1" applyBorder="1" applyAlignment="1">
      <alignment horizontal="right" wrapText="1"/>
    </xf>
    <xf numFmtId="0" fontId="3" fillId="4" borderId="10" xfId="0" applyFont="1" applyFill="1" applyBorder="1" applyAlignment="1">
      <alignment horizontal="right" wrapText="1"/>
    </xf>
    <xf numFmtId="0" fontId="3" fillId="4" borderId="11" xfId="0" applyFont="1" applyFill="1" applyBorder="1" applyAlignment="1">
      <alignment horizontal="right" wrapText="1"/>
    </xf>
    <xf numFmtId="0" fontId="0" fillId="4" borderId="11" xfId="0" applyFill="1" applyBorder="1" applyAlignment="1">
      <alignment horizontal="right" wrapText="1"/>
    </xf>
    <xf numFmtId="0" fontId="0" fillId="4" borderId="13" xfId="0" applyFill="1" applyBorder="1" applyAlignment="1">
      <alignment horizontal="right" wrapText="1"/>
    </xf>
    <xf numFmtId="0" fontId="3" fillId="4" borderId="0" xfId="2" applyFill="1" applyBorder="1" applyAlignment="1">
      <alignment vertical="top"/>
    </xf>
    <xf numFmtId="0" fontId="3" fillId="4" borderId="0" xfId="2" applyFill="1" applyBorder="1">
      <alignment vertical="top" wrapText="1"/>
    </xf>
    <xf numFmtId="0" fontId="7" fillId="4" borderId="0" xfId="2" applyFont="1" applyFill="1" applyBorder="1">
      <alignment vertical="top" wrapText="1"/>
    </xf>
    <xf numFmtId="0" fontId="7" fillId="4" borderId="0" xfId="2" applyFont="1" applyFill="1" applyBorder="1" applyAlignment="1">
      <alignment vertical="top"/>
    </xf>
    <xf numFmtId="0" fontId="3" fillId="4" borderId="0" xfId="2" applyFill="1" applyBorder="1" applyAlignment="1">
      <alignment horizontal="center" vertical="top" wrapText="1"/>
    </xf>
    <xf numFmtId="0" fontId="2" fillId="4" borderId="0" xfId="2" applyFont="1" applyFill="1" applyBorder="1" applyAlignment="1">
      <alignment vertical="top"/>
    </xf>
    <xf numFmtId="0" fontId="2" fillId="2" borderId="0" xfId="2" applyFont="1" applyFill="1" applyBorder="1" applyAlignment="1">
      <alignment vertical="top"/>
    </xf>
    <xf numFmtId="49" fontId="2" fillId="2" borderId="0" xfId="2" applyNumberFormat="1" applyFont="1" applyFill="1" applyBorder="1" applyAlignment="1">
      <alignment vertical="top"/>
    </xf>
    <xf numFmtId="1" fontId="2" fillId="3" borderId="0" xfId="2" applyNumberFormat="1" applyFont="1" applyFill="1" applyBorder="1" applyAlignment="1">
      <alignment vertical="top"/>
    </xf>
    <xf numFmtId="1" fontId="3" fillId="0" borderId="0" xfId="2" applyNumberFormat="1" applyBorder="1" applyAlignment="1">
      <alignment vertical="top"/>
    </xf>
    <xf numFmtId="0" fontId="6" fillId="9" borderId="0" xfId="2" applyFont="1" applyFill="1" applyBorder="1" applyAlignment="1">
      <alignment vertical="center" wrapText="1"/>
    </xf>
    <xf numFmtId="0" fontId="3" fillId="9" borderId="0" xfId="2" applyFill="1" applyAlignment="1">
      <alignment vertical="center" wrapText="1"/>
    </xf>
    <xf numFmtId="0" fontId="3" fillId="9" borderId="0" xfId="2" applyFill="1" applyBorder="1" applyAlignment="1">
      <alignment vertical="center" wrapText="1"/>
    </xf>
    <xf numFmtId="1" fontId="8" fillId="0" borderId="0" xfId="2" applyNumberFormat="1" applyFont="1" applyBorder="1" applyAlignment="1">
      <alignment vertical="top"/>
    </xf>
    <xf numFmtId="1" fontId="2" fillId="0" borderId="0" xfId="2" applyNumberFormat="1" applyFont="1" applyBorder="1" applyAlignment="1">
      <alignment vertical="top"/>
    </xf>
    <xf numFmtId="0" fontId="3" fillId="5" borderId="0" xfId="2" applyFill="1" applyBorder="1">
      <alignment vertical="top" wrapText="1"/>
    </xf>
    <xf numFmtId="0" fontId="3" fillId="4" borderId="0" xfId="2" applyFill="1">
      <alignment vertical="top" wrapText="1"/>
    </xf>
    <xf numFmtId="0" fontId="3" fillId="4" borderId="0" xfId="2" applyFill="1" applyAlignment="1">
      <alignment vertical="top"/>
    </xf>
    <xf numFmtId="0" fontId="6" fillId="9" borderId="0" xfId="2" applyFont="1" applyFill="1" applyAlignment="1">
      <alignment vertical="center" wrapText="1"/>
    </xf>
    <xf numFmtId="0" fontId="3" fillId="4" borderId="0" xfId="2" applyFill="1" applyBorder="1" applyAlignment="1">
      <alignment horizontal="right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7" fillId="4" borderId="0" xfId="0" applyFont="1" applyFill="1" applyBorder="1" applyAlignment="1">
      <alignment horizontal="center" vertical="top"/>
    </xf>
    <xf numFmtId="0" fontId="3" fillId="0" borderId="0" xfId="2" applyBorder="1">
      <alignment vertical="top" wrapText="1"/>
    </xf>
    <xf numFmtId="0" fontId="2" fillId="10" borderId="16" xfId="2" applyFont="1" applyFill="1" applyBorder="1">
      <alignment vertical="top" wrapText="1"/>
    </xf>
    <xf numFmtId="0" fontId="9" fillId="11" borderId="17" xfId="2" applyFont="1" applyFill="1" applyBorder="1" applyAlignment="1">
      <alignment horizontal="center" vertical="center"/>
    </xf>
    <xf numFmtId="0" fontId="9" fillId="11" borderId="18" xfId="2" applyFont="1" applyFill="1" applyBorder="1" applyAlignment="1">
      <alignment horizontal="center" vertical="center" wrapText="1"/>
    </xf>
    <xf numFmtId="0" fontId="10" fillId="0" borderId="19" xfId="2" applyFont="1" applyBorder="1" applyAlignment="1">
      <alignment horizontal="center" vertical="center" wrapText="1"/>
    </xf>
    <xf numFmtId="0" fontId="9" fillId="11" borderId="20" xfId="2" applyFont="1" applyFill="1" applyBorder="1" applyAlignment="1">
      <alignment horizontal="center" vertical="center"/>
    </xf>
    <xf numFmtId="0" fontId="9" fillId="11" borderId="21" xfId="2" applyFont="1" applyFill="1" applyBorder="1" applyAlignment="1">
      <alignment horizontal="center" vertical="center" wrapText="1"/>
    </xf>
    <xf numFmtId="0" fontId="11" fillId="0" borderId="19" xfId="2" applyFont="1" applyBorder="1" applyAlignment="1">
      <alignment horizontal="center" vertical="center" wrapText="1"/>
    </xf>
    <xf numFmtId="10" fontId="11" fillId="0" borderId="19" xfId="2" applyNumberFormat="1" applyFont="1" applyBorder="1" applyAlignment="1">
      <alignment horizontal="center" vertical="center" wrapText="1"/>
    </xf>
    <xf numFmtId="164" fontId="10" fillId="0" borderId="19" xfId="2" applyNumberFormat="1" applyFont="1" applyBorder="1" applyAlignment="1">
      <alignment horizontal="center" vertical="center" wrapText="1"/>
    </xf>
    <xf numFmtId="0" fontId="3" fillId="12" borderId="22" xfId="2" applyFill="1" applyBorder="1" applyAlignment="1">
      <alignment horizontal="center"/>
    </xf>
    <xf numFmtId="165" fontId="3" fillId="13" borderId="0" xfId="2" applyNumberFormat="1" applyFill="1" applyAlignment="1">
      <alignment horizontal="center"/>
    </xf>
    <xf numFmtId="0" fontId="12" fillId="0" borderId="0" xfId="2" applyFont="1">
      <alignment vertical="top" wrapText="1"/>
    </xf>
    <xf numFmtId="0" fontId="13" fillId="0" borderId="0" xfId="2" applyFont="1">
      <alignment vertical="top" wrapText="1"/>
    </xf>
    <xf numFmtId="10" fontId="10" fillId="0" borderId="19" xfId="2" applyNumberFormat="1" applyFont="1" applyBorder="1" applyAlignment="1">
      <alignment horizontal="center" vertical="center" wrapText="1"/>
    </xf>
    <xf numFmtId="0" fontId="3" fillId="0" borderId="16" xfId="2" applyBorder="1" applyAlignment="1">
      <alignment horizontal="center" vertical="center" wrapText="1"/>
    </xf>
    <xf numFmtId="0" fontId="3" fillId="0" borderId="0" xfId="2" applyBorder="1" applyAlignment="1">
      <alignment horizontal="center" vertical="center" wrapText="1"/>
    </xf>
    <xf numFmtId="164" fontId="3" fillId="0" borderId="23" xfId="2" applyNumberFormat="1" applyBorder="1">
      <alignment vertical="top" wrapText="1"/>
    </xf>
    <xf numFmtId="0" fontId="14" fillId="0" borderId="16" xfId="2" applyFont="1" applyBorder="1" applyAlignment="1">
      <alignment horizontal="center" vertical="center" wrapText="1"/>
    </xf>
    <xf numFmtId="166" fontId="2" fillId="0" borderId="16" xfId="3" applyNumberFormat="1" applyFont="1" applyBorder="1" applyAlignment="1">
      <alignment horizontal="center" vertical="center" wrapText="1"/>
    </xf>
    <xf numFmtId="0" fontId="3" fillId="12" borderId="20" xfId="2" applyFill="1" applyBorder="1" applyAlignment="1">
      <alignment horizontal="center"/>
    </xf>
    <xf numFmtId="165" fontId="3" fillId="13" borderId="24" xfId="2" applyNumberFormat="1" applyFill="1" applyBorder="1" applyAlignment="1">
      <alignment horizontal="center"/>
    </xf>
    <xf numFmtId="0" fontId="3" fillId="0" borderId="0" xfId="2">
      <alignment vertical="top" wrapText="1"/>
    </xf>
    <xf numFmtId="0" fontId="12" fillId="0" borderId="25" xfId="2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0" fontId="2" fillId="0" borderId="25" xfId="2" applyFont="1" applyBorder="1" applyAlignment="1">
      <alignment horizontal="center" vertical="center" wrapText="1"/>
    </xf>
    <xf numFmtId="0" fontId="12" fillId="0" borderId="23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0" fontId="2" fillId="0" borderId="23" xfId="2" applyFont="1" applyBorder="1" applyAlignment="1">
      <alignment horizontal="center" vertical="center" wrapText="1"/>
    </xf>
    <xf numFmtId="0" fontId="12" fillId="0" borderId="27" xfId="2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 wrapText="1"/>
    </xf>
    <xf numFmtId="0" fontId="13" fillId="0" borderId="27" xfId="2" applyNumberFormat="1" applyFont="1" applyBorder="1" applyAlignment="1">
      <alignment horizontal="center" vertical="center" wrapText="1"/>
    </xf>
    <xf numFmtId="12" fontId="13" fillId="0" borderId="0" xfId="2" applyNumberFormat="1" applyFont="1" applyBorder="1" applyAlignment="1">
      <alignment horizontal="center" vertical="center" wrapText="1"/>
    </xf>
    <xf numFmtId="0" fontId="3" fillId="0" borderId="27" xfId="2" applyNumberFormat="1" applyBorder="1" applyAlignment="1">
      <alignment horizontal="center" vertical="center" wrapText="1"/>
    </xf>
    <xf numFmtId="0" fontId="11" fillId="0" borderId="0" xfId="2" applyFont="1" applyBorder="1" applyAlignment="1">
      <alignment horizontal="center" vertical="center" wrapText="1"/>
    </xf>
    <xf numFmtId="12" fontId="3" fillId="0" borderId="27" xfId="2" applyNumberFormat="1" applyBorder="1" applyAlignment="1">
      <alignment horizontal="center" vertical="center" wrapText="1"/>
    </xf>
    <xf numFmtId="0" fontId="13" fillId="0" borderId="0" xfId="2" applyNumberFormat="1" applyFont="1" applyBorder="1" applyAlignment="1">
      <alignment horizontal="center" vertical="center" wrapText="1"/>
    </xf>
    <xf numFmtId="12" fontId="13" fillId="0" borderId="27" xfId="2" applyNumberFormat="1" applyFont="1" applyBorder="1" applyAlignment="1">
      <alignment horizontal="center" vertical="center" wrapText="1"/>
    </xf>
    <xf numFmtId="0" fontId="12" fillId="0" borderId="23" xfId="2" applyFont="1" applyBorder="1" applyAlignment="1">
      <alignment horizontal="center" vertical="center" wrapText="1"/>
    </xf>
    <xf numFmtId="0" fontId="13" fillId="0" borderId="14" xfId="2" applyFont="1" applyBorder="1" applyAlignment="1">
      <alignment horizontal="center" vertical="center" wrapText="1"/>
    </xf>
    <xf numFmtId="12" fontId="13" fillId="0" borderId="23" xfId="2" applyNumberFormat="1" applyFont="1" applyBorder="1" applyAlignment="1">
      <alignment horizontal="center" vertical="center" wrapText="1"/>
    </xf>
    <xf numFmtId="12" fontId="13" fillId="0" borderId="14" xfId="2" applyNumberFormat="1" applyFont="1" applyBorder="1" applyAlignment="1">
      <alignment horizontal="center" vertical="center" wrapText="1"/>
    </xf>
    <xf numFmtId="12" fontId="12" fillId="0" borderId="16" xfId="2" applyNumberFormat="1" applyFont="1" applyBorder="1" applyAlignment="1">
      <alignment horizontal="center" vertical="center" wrapText="1"/>
    </xf>
    <xf numFmtId="12" fontId="2" fillId="0" borderId="28" xfId="2" applyNumberFormat="1" applyFont="1" applyFill="1" applyBorder="1" applyAlignment="1">
      <alignment horizontal="center" vertical="center" wrapText="1"/>
    </xf>
    <xf numFmtId="0" fontId="3" fillId="0" borderId="16" xfId="2" applyBorder="1">
      <alignment vertical="top" wrapText="1"/>
    </xf>
  </cellXfs>
  <cellStyles count="4">
    <cellStyle name="Currency 2" xfId="3" xr:uid="{487B185A-54E3-904D-A318-703C3D5D114F}"/>
    <cellStyle name="Normal" xfId="0" builtinId="0"/>
    <cellStyle name="Normal 2" xfId="2" xr:uid="{06A7AFBD-9780-114B-B64B-4EF9BA648E30}"/>
    <cellStyle name="Percent" xfId="1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F7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261937</xdr:colOff>
      <xdr:row>4</xdr:row>
      <xdr:rowOff>47625</xdr:rowOff>
    </xdr:from>
    <xdr:to>
      <xdr:col>22</xdr:col>
      <xdr:colOff>420687</xdr:colOff>
      <xdr:row>4</xdr:row>
      <xdr:rowOff>55562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93E3899-907D-22E7-B56C-A6A48B3DE844}"/>
            </a:ext>
          </a:extLst>
        </xdr:cNvPr>
        <xdr:cNvCxnSpPr/>
      </xdr:nvCxnSpPr>
      <xdr:spPr>
        <a:xfrm>
          <a:off x="11842750" y="1150938"/>
          <a:ext cx="793750" cy="7937"/>
        </a:xfrm>
        <a:prstGeom prst="straightConnector1">
          <a:avLst/>
        </a:prstGeom>
        <a:noFill/>
        <a:ln w="50800" cap="flat">
          <a:solidFill>
            <a:srgbClr val="00B050"/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21</xdr:col>
      <xdr:colOff>206375</xdr:colOff>
      <xdr:row>5</xdr:row>
      <xdr:rowOff>71438</xdr:rowOff>
    </xdr:from>
    <xdr:to>
      <xdr:col>22</xdr:col>
      <xdr:colOff>365125</xdr:colOff>
      <xdr:row>5</xdr:row>
      <xdr:rowOff>79375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E293ADC-38B0-7A42-958D-8264E5C8E1E3}"/>
            </a:ext>
          </a:extLst>
        </xdr:cNvPr>
        <xdr:cNvCxnSpPr/>
      </xdr:nvCxnSpPr>
      <xdr:spPr>
        <a:xfrm>
          <a:off x="11787188" y="1428751"/>
          <a:ext cx="793750" cy="7937"/>
        </a:xfrm>
        <a:prstGeom prst="straightConnector1">
          <a:avLst/>
        </a:prstGeom>
        <a:noFill/>
        <a:ln w="381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21</xdr:col>
      <xdr:colOff>184150</xdr:colOff>
      <xdr:row>6</xdr:row>
      <xdr:rowOff>65088</xdr:rowOff>
    </xdr:from>
    <xdr:to>
      <xdr:col>22</xdr:col>
      <xdr:colOff>342900</xdr:colOff>
      <xdr:row>6</xdr:row>
      <xdr:rowOff>73025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83A150D-1F49-B046-A018-D25EBCE8A351}"/>
            </a:ext>
          </a:extLst>
        </xdr:cNvPr>
        <xdr:cNvCxnSpPr/>
      </xdr:nvCxnSpPr>
      <xdr:spPr>
        <a:xfrm>
          <a:off x="11764963" y="1676401"/>
          <a:ext cx="793750" cy="7937"/>
        </a:xfrm>
        <a:prstGeom prst="straightConnector1">
          <a:avLst/>
        </a:prstGeom>
        <a:noFill/>
        <a:ln w="25400" cap="flat">
          <a:solidFill>
            <a:schemeClr val="accent5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21</xdr:col>
      <xdr:colOff>169863</xdr:colOff>
      <xdr:row>7</xdr:row>
      <xdr:rowOff>74613</xdr:rowOff>
    </xdr:from>
    <xdr:to>
      <xdr:col>22</xdr:col>
      <xdr:colOff>328613</xdr:colOff>
      <xdr:row>7</xdr:row>
      <xdr:rowOff>82550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0A230E3-B3C3-1849-AA52-051991918247}"/>
            </a:ext>
          </a:extLst>
        </xdr:cNvPr>
        <xdr:cNvCxnSpPr/>
      </xdr:nvCxnSpPr>
      <xdr:spPr>
        <a:xfrm>
          <a:off x="11750676" y="1939926"/>
          <a:ext cx="793750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21</xdr:col>
      <xdr:colOff>187326</xdr:colOff>
      <xdr:row>8</xdr:row>
      <xdr:rowOff>44450</xdr:rowOff>
    </xdr:from>
    <xdr:to>
      <xdr:col>22</xdr:col>
      <xdr:colOff>346076</xdr:colOff>
      <xdr:row>8</xdr:row>
      <xdr:rowOff>52387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73E3E7E-0C88-3C40-A521-68A8773D0A84}"/>
            </a:ext>
          </a:extLst>
        </xdr:cNvPr>
        <xdr:cNvCxnSpPr/>
      </xdr:nvCxnSpPr>
      <xdr:spPr>
        <a:xfrm>
          <a:off x="11768139" y="2163763"/>
          <a:ext cx="793750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215777</xdr:colOff>
      <xdr:row>6</xdr:row>
      <xdr:rowOff>57788</xdr:rowOff>
    </xdr:from>
    <xdr:to>
      <xdr:col>2</xdr:col>
      <xdr:colOff>708981</xdr:colOff>
      <xdr:row>6</xdr:row>
      <xdr:rowOff>61650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C3A650AC-9984-F447-B381-2A565647C7DD}"/>
            </a:ext>
          </a:extLst>
        </xdr:cNvPr>
        <xdr:cNvCxnSpPr/>
      </xdr:nvCxnSpPr>
      <xdr:spPr>
        <a:xfrm>
          <a:off x="1868010" y="1056526"/>
          <a:ext cx="493204" cy="3862"/>
        </a:xfrm>
        <a:prstGeom prst="straightConnector1">
          <a:avLst/>
        </a:prstGeom>
        <a:noFill/>
        <a:ln w="34925" cap="flat">
          <a:solidFill>
            <a:schemeClr val="accent5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</xdr:col>
      <xdr:colOff>98641</xdr:colOff>
      <xdr:row>5</xdr:row>
      <xdr:rowOff>110970</xdr:rowOff>
    </xdr:from>
    <xdr:to>
      <xdr:col>2</xdr:col>
      <xdr:colOff>822806</xdr:colOff>
      <xdr:row>5</xdr:row>
      <xdr:rowOff>113493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8E6E91C3-2DED-8446-9F5B-B6B7E8468902}"/>
            </a:ext>
          </a:extLst>
        </xdr:cNvPr>
        <xdr:cNvCxnSpPr/>
      </xdr:nvCxnSpPr>
      <xdr:spPr>
        <a:xfrm>
          <a:off x="1750874" y="943252"/>
          <a:ext cx="724165" cy="2523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</xdr:col>
      <xdr:colOff>104805</xdr:colOff>
      <xdr:row>4</xdr:row>
      <xdr:rowOff>71317</xdr:rowOff>
    </xdr:from>
    <xdr:to>
      <xdr:col>2</xdr:col>
      <xdr:colOff>787652</xdr:colOff>
      <xdr:row>4</xdr:row>
      <xdr:rowOff>104806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6CE5BD46-0D75-9544-8CB2-F73EFD5CAB25}"/>
            </a:ext>
          </a:extLst>
        </xdr:cNvPr>
        <xdr:cNvCxnSpPr/>
      </xdr:nvCxnSpPr>
      <xdr:spPr>
        <a:xfrm flipV="1">
          <a:off x="1757038" y="737142"/>
          <a:ext cx="682847" cy="33489"/>
        </a:xfrm>
        <a:prstGeom prst="straightConnector1">
          <a:avLst/>
        </a:prstGeom>
        <a:noFill/>
        <a:ln w="79375" cap="flat">
          <a:solidFill>
            <a:srgbClr val="00B050"/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</xdr:col>
      <xdr:colOff>67815</xdr:colOff>
      <xdr:row>7</xdr:row>
      <xdr:rowOff>80146</xdr:rowOff>
    </xdr:from>
    <xdr:to>
      <xdr:col>2</xdr:col>
      <xdr:colOff>998737</xdr:colOff>
      <xdr:row>7</xdr:row>
      <xdr:rowOff>88942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60D10A8D-DCD4-0640-8636-84C5896F9F99}"/>
            </a:ext>
          </a:extLst>
        </xdr:cNvPr>
        <xdr:cNvCxnSpPr/>
      </xdr:nvCxnSpPr>
      <xdr:spPr>
        <a:xfrm flipV="1">
          <a:off x="1720048" y="1245340"/>
          <a:ext cx="930922" cy="8796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ysDash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</xdr:col>
      <xdr:colOff>869674</xdr:colOff>
      <xdr:row>8</xdr:row>
      <xdr:rowOff>75924</xdr:rowOff>
    </xdr:from>
    <xdr:to>
      <xdr:col>2</xdr:col>
      <xdr:colOff>1304511</xdr:colOff>
      <xdr:row>8</xdr:row>
      <xdr:rowOff>82826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77633978-E37C-0740-B632-437AE061F0F3}"/>
            </a:ext>
          </a:extLst>
        </xdr:cNvPr>
        <xdr:cNvCxnSpPr/>
      </xdr:nvCxnSpPr>
      <xdr:spPr>
        <a:xfrm>
          <a:off x="2526196" y="1401141"/>
          <a:ext cx="434837" cy="6902"/>
        </a:xfrm>
        <a:prstGeom prst="straightConnector1">
          <a:avLst/>
        </a:prstGeom>
        <a:noFill/>
        <a:ln w="12700" cap="flat">
          <a:solidFill>
            <a:schemeClr val="tx1">
              <a:lumMod val="85000"/>
              <a:lumOff val="1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</xdr:col>
      <xdr:colOff>973666</xdr:colOff>
      <xdr:row>9</xdr:row>
      <xdr:rowOff>173212</xdr:rowOff>
    </xdr:from>
    <xdr:to>
      <xdr:col>4</xdr:col>
      <xdr:colOff>618067</xdr:colOff>
      <xdr:row>12</xdr:row>
      <xdr:rowOff>0</xdr:rowOff>
    </xdr:to>
    <xdr:sp macro="" textlink="">
      <xdr:nvSpPr>
        <xdr:cNvPr id="109" name="Freeform 108">
          <a:extLst>
            <a:ext uri="{FF2B5EF4-FFF2-40B4-BE49-F238E27FC236}">
              <a16:creationId xmlns:a16="http://schemas.microsoft.com/office/drawing/2014/main" id="{D08675E1-6749-E97D-FE54-D921902BBB00}"/>
            </a:ext>
          </a:extLst>
        </xdr:cNvPr>
        <xdr:cNvSpPr/>
      </xdr:nvSpPr>
      <xdr:spPr>
        <a:xfrm>
          <a:off x="2633133" y="1883479"/>
          <a:ext cx="1794934" cy="343254"/>
        </a:xfrm>
        <a:custGeom>
          <a:avLst/>
          <a:gdLst>
            <a:gd name="connsiteX0" fmla="*/ 0 w 1794934"/>
            <a:gd name="connsiteY0" fmla="*/ 97721 h 343254"/>
            <a:gd name="connsiteX1" fmla="*/ 1320800 w 1794934"/>
            <a:gd name="connsiteY1" fmla="*/ 13054 h 343254"/>
            <a:gd name="connsiteX2" fmla="*/ 1794934 w 1794934"/>
            <a:gd name="connsiteY2" fmla="*/ 343254 h 34325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794934" h="343254">
              <a:moveTo>
                <a:pt x="0" y="97721"/>
              </a:moveTo>
              <a:cubicBezTo>
                <a:pt x="510822" y="34926"/>
                <a:pt x="1021644" y="-27868"/>
                <a:pt x="1320800" y="13054"/>
              </a:cubicBezTo>
              <a:cubicBezTo>
                <a:pt x="1619956" y="53976"/>
                <a:pt x="1707445" y="198615"/>
                <a:pt x="1794934" y="343254"/>
              </a:cubicBezTo>
            </a:path>
          </a:pathLst>
        </a:cu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91439" tIns="45719" rIns="91439" bIns="45719" numCol="1" spcCol="38100" rtlCol="0" anchor="t">
          <a:noAutofit/>
        </a:bodyPr>
        <a:lstStyle/>
        <a:p>
          <a: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endParaRPr>
        </a:p>
      </xdr:txBody>
    </xdr:sp>
    <xdr:clientData/>
  </xdr:twoCellAnchor>
  <xdr:twoCellAnchor>
    <xdr:from>
      <xdr:col>2</xdr:col>
      <xdr:colOff>211666</xdr:colOff>
      <xdr:row>9</xdr:row>
      <xdr:rowOff>133789</xdr:rowOff>
    </xdr:from>
    <xdr:to>
      <xdr:col>3</xdr:col>
      <xdr:colOff>76200</xdr:colOff>
      <xdr:row>12</xdr:row>
      <xdr:rowOff>118534</xdr:rowOff>
    </xdr:to>
    <xdr:sp macro="" textlink="">
      <xdr:nvSpPr>
        <xdr:cNvPr id="111" name="Freeform 110">
          <a:extLst>
            <a:ext uri="{FF2B5EF4-FFF2-40B4-BE49-F238E27FC236}">
              <a16:creationId xmlns:a16="http://schemas.microsoft.com/office/drawing/2014/main" id="{7D139902-9549-754C-CDA1-3394FEC36ADC}"/>
            </a:ext>
          </a:extLst>
        </xdr:cNvPr>
        <xdr:cNvSpPr/>
      </xdr:nvSpPr>
      <xdr:spPr>
        <a:xfrm>
          <a:off x="1871133" y="1844056"/>
          <a:ext cx="1185334" cy="501211"/>
        </a:xfrm>
        <a:custGeom>
          <a:avLst/>
          <a:gdLst>
            <a:gd name="connsiteX0" fmla="*/ 0 w 1185334"/>
            <a:gd name="connsiteY0" fmla="*/ 145611 h 501211"/>
            <a:gd name="connsiteX1" fmla="*/ 719667 w 1185334"/>
            <a:gd name="connsiteY1" fmla="*/ 18611 h 501211"/>
            <a:gd name="connsiteX2" fmla="*/ 1185334 w 1185334"/>
            <a:gd name="connsiteY2" fmla="*/ 501211 h 501211"/>
            <a:gd name="connsiteX3" fmla="*/ 1185334 w 1185334"/>
            <a:gd name="connsiteY3" fmla="*/ 501211 h 5012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185334" h="501211">
              <a:moveTo>
                <a:pt x="0" y="145611"/>
              </a:moveTo>
              <a:cubicBezTo>
                <a:pt x="261055" y="52477"/>
                <a:pt x="522111" y="-40656"/>
                <a:pt x="719667" y="18611"/>
              </a:cubicBezTo>
              <a:cubicBezTo>
                <a:pt x="917223" y="77878"/>
                <a:pt x="1185334" y="501211"/>
                <a:pt x="1185334" y="501211"/>
              </a:cubicBezTo>
              <a:lnTo>
                <a:pt x="1185334" y="501211"/>
              </a:lnTo>
            </a:path>
          </a:pathLst>
        </a:cu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91439" tIns="45719" rIns="91439" bIns="45719" numCol="1" spcCol="38100" rtlCol="0" anchor="t">
          <a:noAutofit/>
        </a:bodyPr>
        <a:lstStyle/>
        <a:p>
          <a: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endParaRPr>
        </a:p>
      </xdr:txBody>
    </xdr:sp>
    <xdr:clientData/>
  </xdr:twoCellAnchor>
  <xdr:twoCellAnchor>
    <xdr:from>
      <xdr:col>1</xdr:col>
      <xdr:colOff>524935</xdr:colOff>
      <xdr:row>9</xdr:row>
      <xdr:rowOff>72580</xdr:rowOff>
    </xdr:from>
    <xdr:to>
      <xdr:col>3</xdr:col>
      <xdr:colOff>67734</xdr:colOff>
      <xdr:row>13</xdr:row>
      <xdr:rowOff>59266</xdr:rowOff>
    </xdr:to>
    <xdr:sp macro="" textlink="">
      <xdr:nvSpPr>
        <xdr:cNvPr id="113" name="Freeform 112">
          <a:extLst>
            <a:ext uri="{FF2B5EF4-FFF2-40B4-BE49-F238E27FC236}">
              <a16:creationId xmlns:a16="http://schemas.microsoft.com/office/drawing/2014/main" id="{12D7556B-378D-AE37-6214-B62A30F6F52B}"/>
            </a:ext>
          </a:extLst>
        </xdr:cNvPr>
        <xdr:cNvSpPr/>
      </xdr:nvSpPr>
      <xdr:spPr>
        <a:xfrm>
          <a:off x="1354668" y="1782847"/>
          <a:ext cx="1693333" cy="672486"/>
        </a:xfrm>
        <a:custGeom>
          <a:avLst/>
          <a:gdLst>
            <a:gd name="connsiteX0" fmla="*/ 0 w 1693333"/>
            <a:gd name="connsiteY0" fmla="*/ 308419 h 672486"/>
            <a:gd name="connsiteX1" fmla="*/ 855133 w 1693333"/>
            <a:gd name="connsiteY1" fmla="*/ 12086 h 672486"/>
            <a:gd name="connsiteX2" fmla="*/ 1693333 w 1693333"/>
            <a:gd name="connsiteY2" fmla="*/ 672486 h 67248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93333" h="672486">
              <a:moveTo>
                <a:pt x="0" y="308419"/>
              </a:moveTo>
              <a:cubicBezTo>
                <a:pt x="286455" y="129913"/>
                <a:pt x="572911" y="-48592"/>
                <a:pt x="855133" y="12086"/>
              </a:cubicBezTo>
              <a:cubicBezTo>
                <a:pt x="1137355" y="72764"/>
                <a:pt x="1415344" y="372625"/>
                <a:pt x="1693333" y="672486"/>
              </a:cubicBez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ot="0" spcFirstLastPara="1" vertOverflow="overflow" horzOverflow="overflow" vert="horz" wrap="square" lIns="91439" tIns="45719" rIns="91439" bIns="45719" numCol="1" spcCol="38100" rtlCol="0" anchor="t">
          <a:noAutofit/>
        </a:bodyPr>
        <a:lstStyle/>
        <a:p>
          <a: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164495</xdr:colOff>
      <xdr:row>14</xdr:row>
      <xdr:rowOff>194927</xdr:rowOff>
    </xdr:from>
    <xdr:to>
      <xdr:col>19</xdr:col>
      <xdr:colOff>4347</xdr:colOff>
      <xdr:row>14</xdr:row>
      <xdr:rowOff>385804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67BB2BB-34EC-0F42-87C2-769543D00417}"/>
            </a:ext>
          </a:extLst>
        </xdr:cNvPr>
        <xdr:cNvCxnSpPr>
          <a:stCxn id="8" idx="3"/>
          <a:endCxn id="11" idx="1"/>
        </xdr:cNvCxnSpPr>
      </xdr:nvCxnSpPr>
      <xdr:spPr>
        <a:xfrm>
          <a:off x="1341113" y="5685809"/>
          <a:ext cx="6115146" cy="190877"/>
        </a:xfrm>
        <a:prstGeom prst="straightConnector1">
          <a:avLst/>
        </a:prstGeom>
        <a:noFill/>
        <a:ln w="79375" cap="flat">
          <a:solidFill>
            <a:srgbClr val="00B050"/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3</xdr:col>
      <xdr:colOff>7470</xdr:colOff>
      <xdr:row>3</xdr:row>
      <xdr:rowOff>214732</xdr:rowOff>
    </xdr:from>
    <xdr:to>
      <xdr:col>9</xdr:col>
      <xdr:colOff>46086</xdr:colOff>
      <xdr:row>4</xdr:row>
      <xdr:rowOff>199901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005EFBD-F965-F241-863A-3E805ABF19E5}"/>
            </a:ext>
          </a:extLst>
        </xdr:cNvPr>
        <xdr:cNvCxnSpPr>
          <a:stCxn id="14" idx="3"/>
          <a:endCxn id="17" idx="1"/>
        </xdr:cNvCxnSpPr>
      </xdr:nvCxnSpPr>
      <xdr:spPr>
        <a:xfrm>
          <a:off x="1195294" y="1402556"/>
          <a:ext cx="2414263" cy="381110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</xdr:col>
      <xdr:colOff>94759</xdr:colOff>
      <xdr:row>6</xdr:row>
      <xdr:rowOff>7471</xdr:rowOff>
    </xdr:from>
    <xdr:to>
      <xdr:col>10</xdr:col>
      <xdr:colOff>153777</xdr:colOff>
      <xdr:row>12</xdr:row>
      <xdr:rowOff>345034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0757422-BD70-5F4F-9E45-AC4D914DFC8A}"/>
            </a:ext>
          </a:extLst>
        </xdr:cNvPr>
        <xdr:cNvCxnSpPr>
          <a:stCxn id="8" idx="0"/>
          <a:endCxn id="17" idx="2"/>
        </xdr:cNvCxnSpPr>
      </xdr:nvCxnSpPr>
      <xdr:spPr>
        <a:xfrm flipV="1">
          <a:off x="886641" y="2383118"/>
          <a:ext cx="3226548" cy="2713210"/>
        </a:xfrm>
        <a:prstGeom prst="straightConnector1">
          <a:avLst/>
        </a:prstGeom>
        <a:noFill/>
        <a:ln w="34925" cap="flat">
          <a:solidFill>
            <a:schemeClr val="accent5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3</xdr:col>
      <xdr:colOff>13741</xdr:colOff>
      <xdr:row>29</xdr:row>
      <xdr:rowOff>28014</xdr:rowOff>
    </xdr:from>
    <xdr:to>
      <xdr:col>8</xdr:col>
      <xdr:colOff>203773</xdr:colOff>
      <xdr:row>37</xdr:row>
      <xdr:rowOff>374277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74DE421-97DA-A249-B6C4-E5345316C73D}"/>
            </a:ext>
          </a:extLst>
        </xdr:cNvPr>
        <xdr:cNvCxnSpPr>
          <a:stCxn id="20" idx="2"/>
          <a:endCxn id="23" idx="0"/>
        </xdr:cNvCxnSpPr>
      </xdr:nvCxnSpPr>
      <xdr:spPr>
        <a:xfrm>
          <a:off x="1190359" y="11401985"/>
          <a:ext cx="2151061" cy="3483910"/>
        </a:xfrm>
        <a:prstGeom prst="straightConnector1">
          <a:avLst/>
        </a:prstGeom>
        <a:noFill/>
        <a:ln w="381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10</xdr:col>
      <xdr:colOff>14663</xdr:colOff>
      <xdr:row>49</xdr:row>
      <xdr:rowOff>379219</xdr:rowOff>
    </xdr:from>
    <xdr:to>
      <xdr:col>18</xdr:col>
      <xdr:colOff>473</xdr:colOff>
      <xdr:row>51</xdr:row>
      <xdr:rowOff>12310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9FBAF6C-2DC0-284A-A45D-42D330D71139}"/>
            </a:ext>
          </a:extLst>
        </xdr:cNvPr>
        <xdr:cNvCxnSpPr>
          <a:cxnSpLocks/>
          <a:stCxn id="35" idx="0"/>
          <a:endCxn id="38" idx="1"/>
        </xdr:cNvCxnSpPr>
      </xdr:nvCxnSpPr>
      <xdr:spPr>
        <a:xfrm>
          <a:off x="3936722" y="19597307"/>
          <a:ext cx="3123457" cy="417503"/>
        </a:xfrm>
        <a:prstGeom prst="straightConnector1">
          <a:avLst/>
        </a:prstGeom>
        <a:noFill/>
        <a:ln w="12700" cap="flat">
          <a:solidFill>
            <a:schemeClr val="tx1">
              <a:lumMod val="85000"/>
              <a:lumOff val="1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26</xdr:col>
      <xdr:colOff>18676</xdr:colOff>
      <xdr:row>27</xdr:row>
      <xdr:rowOff>20568</xdr:rowOff>
    </xdr:from>
    <xdr:to>
      <xdr:col>32</xdr:col>
      <xdr:colOff>10635</xdr:colOff>
      <xdr:row>28</xdr:row>
      <xdr:rowOff>326544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6DFFF31E-5405-094C-A71F-C39BA14164E5}"/>
            </a:ext>
          </a:extLst>
        </xdr:cNvPr>
        <xdr:cNvCxnSpPr>
          <a:stCxn id="27" idx="3"/>
          <a:endCxn id="30" idx="1"/>
        </xdr:cNvCxnSpPr>
      </xdr:nvCxnSpPr>
      <xdr:spPr>
        <a:xfrm>
          <a:off x="10216029" y="10610127"/>
          <a:ext cx="2345194" cy="698182"/>
        </a:xfrm>
        <a:prstGeom prst="straightConnector1">
          <a:avLst/>
        </a:prstGeom>
        <a:noFill/>
        <a:ln w="381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13</xdr:col>
      <xdr:colOff>186766</xdr:colOff>
      <xdr:row>29</xdr:row>
      <xdr:rowOff>88580</xdr:rowOff>
    </xdr:from>
    <xdr:to>
      <xdr:col>22</xdr:col>
      <xdr:colOff>379488</xdr:colOff>
      <xdr:row>37</xdr:row>
      <xdr:rowOff>192512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CCF464A6-4BD5-7644-B8A7-6F75E2813F8A}"/>
            </a:ext>
          </a:extLst>
        </xdr:cNvPr>
        <xdr:cNvCxnSpPr>
          <a:stCxn id="53" idx="3"/>
          <a:endCxn id="45" idx="1"/>
        </xdr:cNvCxnSpPr>
      </xdr:nvCxnSpPr>
      <xdr:spPr>
        <a:xfrm>
          <a:off x="5285442" y="11462551"/>
          <a:ext cx="3722575" cy="3241579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ysDash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11</xdr:col>
      <xdr:colOff>9338</xdr:colOff>
      <xdr:row>50</xdr:row>
      <xdr:rowOff>184941</xdr:rowOff>
    </xdr:from>
    <xdr:to>
      <xdr:col>18</xdr:col>
      <xdr:colOff>473</xdr:colOff>
      <xdr:row>51</xdr:row>
      <xdr:rowOff>12310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9DE1B327-C51E-0A48-99B2-F3E05FCC3EE6}"/>
            </a:ext>
          </a:extLst>
        </xdr:cNvPr>
        <xdr:cNvCxnSpPr>
          <a:cxnSpLocks/>
          <a:stCxn id="35" idx="3"/>
          <a:endCxn id="38" idx="1"/>
        </xdr:cNvCxnSpPr>
      </xdr:nvCxnSpPr>
      <xdr:spPr>
        <a:xfrm>
          <a:off x="4323603" y="19795235"/>
          <a:ext cx="2736576" cy="219575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ysDash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</xdr:col>
      <xdr:colOff>21048</xdr:colOff>
      <xdr:row>4</xdr:row>
      <xdr:rowOff>29882</xdr:rowOff>
    </xdr:from>
    <xdr:to>
      <xdr:col>20</xdr:col>
      <xdr:colOff>242793</xdr:colOff>
      <xdr:row>51</xdr:row>
      <xdr:rowOff>12310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F1AEA4F2-EA81-A44D-BDE2-037D593E4118}"/>
            </a:ext>
          </a:extLst>
        </xdr:cNvPr>
        <xdr:cNvCxnSpPr>
          <a:stCxn id="38" idx="3"/>
          <a:endCxn id="14" idx="2"/>
        </xdr:cNvCxnSpPr>
      </xdr:nvCxnSpPr>
      <xdr:spPr>
        <a:xfrm flipH="1" flipV="1">
          <a:off x="805460" y="1598706"/>
          <a:ext cx="7281451" cy="18416104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ysDash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24</xdr:col>
      <xdr:colOff>199082</xdr:colOff>
      <xdr:row>28</xdr:row>
      <xdr:rowOff>18680</xdr:rowOff>
    </xdr:from>
    <xdr:to>
      <xdr:col>24</xdr:col>
      <xdr:colOff>205618</xdr:colOff>
      <xdr:row>36</xdr:row>
      <xdr:rowOff>385024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6644B678-D8FB-A543-BCC5-A339B6E1BF38}"/>
            </a:ext>
          </a:extLst>
        </xdr:cNvPr>
        <xdr:cNvCxnSpPr>
          <a:stCxn id="27" idx="2"/>
          <a:endCxn id="45" idx="0"/>
        </xdr:cNvCxnSpPr>
      </xdr:nvCxnSpPr>
      <xdr:spPr>
        <a:xfrm flipH="1">
          <a:off x="9612023" y="11000445"/>
          <a:ext cx="6536" cy="3503991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ysDash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26</xdr:col>
      <xdr:colOff>18676</xdr:colOff>
      <xdr:row>29</xdr:row>
      <xdr:rowOff>252132</xdr:rowOff>
    </xdr:from>
    <xdr:to>
      <xdr:col>34</xdr:col>
      <xdr:colOff>7579</xdr:colOff>
      <xdr:row>37</xdr:row>
      <xdr:rowOff>192512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EE212389-4C78-5948-AFB7-11FCD9C5362D}"/>
            </a:ext>
          </a:extLst>
        </xdr:cNvPr>
        <xdr:cNvCxnSpPr>
          <a:stCxn id="45" idx="3"/>
          <a:endCxn id="30" idx="2"/>
        </xdr:cNvCxnSpPr>
      </xdr:nvCxnSpPr>
      <xdr:spPr>
        <a:xfrm flipV="1">
          <a:off x="10216029" y="11626103"/>
          <a:ext cx="3126550" cy="307802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ysDash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</xdr:col>
      <xdr:colOff>94775</xdr:colOff>
      <xdr:row>16</xdr:row>
      <xdr:rowOff>44823</xdr:rowOff>
    </xdr:from>
    <xdr:to>
      <xdr:col>12</xdr:col>
      <xdr:colOff>88447</xdr:colOff>
      <xdr:row>26</xdr:row>
      <xdr:rowOff>326572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35F5BB56-6959-7F4E-8D95-20952A2EBB13}"/>
            </a:ext>
          </a:extLst>
        </xdr:cNvPr>
        <xdr:cNvCxnSpPr>
          <a:stCxn id="53" idx="0"/>
          <a:endCxn id="8" idx="2"/>
        </xdr:cNvCxnSpPr>
      </xdr:nvCxnSpPr>
      <xdr:spPr>
        <a:xfrm flipH="1" flipV="1">
          <a:off x="879187" y="6320117"/>
          <a:ext cx="3915731" cy="4203808"/>
        </a:xfrm>
        <a:prstGeom prst="straightConnector1">
          <a:avLst/>
        </a:prstGeom>
        <a:noFill/>
        <a:ln w="12700" cap="flat">
          <a:solidFill>
            <a:schemeClr val="tx1">
              <a:lumMod val="85000"/>
              <a:lumOff val="1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4</xdr:col>
      <xdr:colOff>199577</xdr:colOff>
      <xdr:row>41</xdr:row>
      <xdr:rowOff>46691</xdr:rowOff>
    </xdr:from>
    <xdr:to>
      <xdr:col>8</xdr:col>
      <xdr:colOff>203773</xdr:colOff>
      <xdr:row>47</xdr:row>
      <xdr:rowOff>9259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FD454C0-4A5C-5248-8658-2E3168274621}"/>
            </a:ext>
          </a:extLst>
        </xdr:cNvPr>
        <xdr:cNvCxnSpPr>
          <a:stCxn id="23" idx="2"/>
          <a:endCxn id="57" idx="0"/>
        </xdr:cNvCxnSpPr>
      </xdr:nvCxnSpPr>
      <xdr:spPr>
        <a:xfrm flipH="1">
          <a:off x="1768401" y="16127132"/>
          <a:ext cx="1573019" cy="2315803"/>
        </a:xfrm>
        <a:prstGeom prst="straightConnector1">
          <a:avLst/>
        </a:prstGeom>
        <a:noFill/>
        <a:ln w="12700" cap="flat">
          <a:solidFill>
            <a:schemeClr val="tx1">
              <a:lumMod val="85000"/>
              <a:lumOff val="1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4</xdr:col>
      <xdr:colOff>199577</xdr:colOff>
      <xdr:row>27</xdr:row>
      <xdr:rowOff>391101</xdr:rowOff>
    </xdr:from>
    <xdr:to>
      <xdr:col>5</xdr:col>
      <xdr:colOff>9339</xdr:colOff>
      <xdr:row>47</xdr:row>
      <xdr:rowOff>9259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22383B0A-6194-5047-8456-F08E48D8EB8B}"/>
            </a:ext>
          </a:extLst>
        </xdr:cNvPr>
        <xdr:cNvCxnSpPr>
          <a:stCxn id="20" idx="3"/>
          <a:endCxn id="57" idx="0"/>
        </xdr:cNvCxnSpPr>
      </xdr:nvCxnSpPr>
      <xdr:spPr>
        <a:xfrm flipH="1">
          <a:off x="1768401" y="10980660"/>
          <a:ext cx="201967" cy="7462275"/>
        </a:xfrm>
        <a:prstGeom prst="straightConnector1">
          <a:avLst/>
        </a:prstGeom>
        <a:noFill/>
        <a:ln w="12700" cap="flat">
          <a:solidFill>
            <a:schemeClr val="tx1">
              <a:lumMod val="85000"/>
              <a:lumOff val="1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3</xdr:col>
      <xdr:colOff>13741</xdr:colOff>
      <xdr:row>29</xdr:row>
      <xdr:rowOff>28014</xdr:rowOff>
    </xdr:from>
    <xdr:to>
      <xdr:col>6</xdr:col>
      <xdr:colOff>15339</xdr:colOff>
      <xdr:row>39</xdr:row>
      <xdr:rowOff>210485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C36D8202-56F8-1A45-B80E-B396C6852BAB}"/>
            </a:ext>
          </a:extLst>
        </xdr:cNvPr>
        <xdr:cNvCxnSpPr>
          <a:stCxn id="20" idx="2"/>
          <a:endCxn id="23" idx="1"/>
        </xdr:cNvCxnSpPr>
      </xdr:nvCxnSpPr>
      <xdr:spPr>
        <a:xfrm>
          <a:off x="1190359" y="11401985"/>
          <a:ext cx="1178215" cy="4104529"/>
        </a:xfrm>
        <a:prstGeom prst="straightConnector1">
          <a:avLst/>
        </a:prstGeom>
        <a:noFill/>
        <a:ln w="12700" cap="flat">
          <a:solidFill>
            <a:schemeClr val="tx1">
              <a:lumMod val="85000"/>
              <a:lumOff val="1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</xdr:col>
      <xdr:colOff>21878</xdr:colOff>
      <xdr:row>12</xdr:row>
      <xdr:rowOff>344712</xdr:rowOff>
    </xdr:from>
    <xdr:to>
      <xdr:col>3</xdr:col>
      <xdr:colOff>171823</xdr:colOff>
      <xdr:row>16</xdr:row>
      <xdr:rowOff>44823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AC225B9B-5600-E216-776E-A753AB31455A}"/>
            </a:ext>
          </a:extLst>
        </xdr:cNvPr>
        <xdr:cNvGrpSpPr/>
      </xdr:nvGrpSpPr>
      <xdr:grpSpPr>
        <a:xfrm>
          <a:off x="421021" y="5134426"/>
          <a:ext cx="948231" cy="1296683"/>
          <a:chOff x="471714" y="5025569"/>
          <a:chExt cx="2313215" cy="2440216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B246FF0C-5C6E-FB40-9A2B-1BC0ADAAA936}"/>
              </a:ext>
            </a:extLst>
          </xdr:cNvPr>
          <xdr:cNvGrpSpPr/>
        </xdr:nvGrpSpPr>
        <xdr:grpSpPr>
          <a:xfrm>
            <a:off x="471714" y="5025569"/>
            <a:ext cx="2313215" cy="2440216"/>
            <a:chOff x="1803360" y="3495864"/>
            <a:chExt cx="3091221" cy="954136"/>
          </a:xfrm>
        </xdr:grpSpPr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8087B6EE-E84B-3E21-C3E6-18DD52D71E3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813870" y="3496103"/>
              <a:ext cx="3056466" cy="953897"/>
            </a:xfrm>
            <a:prstGeom prst="rect">
              <a:avLst/>
            </a:prstGeom>
          </xdr:spPr>
        </xdr:pic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ED36D867-9385-A838-126D-15F50C4EBE5F}"/>
                </a:ext>
              </a:extLst>
            </xdr:cNvPr>
            <xdr:cNvSpPr/>
          </xdr:nvSpPr>
          <xdr:spPr>
            <a:xfrm>
              <a:off x="1803360" y="3495864"/>
              <a:ext cx="3091221" cy="93285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34061912-71C6-4484-45DD-A042B5788729}"/>
              </a:ext>
            </a:extLst>
          </xdr:cNvPr>
          <xdr:cNvSpPr txBox="1"/>
        </xdr:nvSpPr>
        <xdr:spPr>
          <a:xfrm>
            <a:off x="1097642" y="5669643"/>
            <a:ext cx="807357" cy="111235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50800" tIns="50800" rIns="50800" bIns="50800" numCol="1" spcCol="38100" rtlCol="0" anchor="t">
            <a:spAutoFit/>
          </a:bodyPr>
          <a:lstStyle/>
          <a:p>
            <a:pPr marL="0" marR="0" indent="0" algn="l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6600" b="0" i="0" u="none" strike="noStrike" cap="none" spc="0" normalizeH="0" baseline="0">
                <a:ln>
                  <a:noFill/>
                </a:ln>
                <a:solidFill>
                  <a:schemeClr val="bg1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rPr>
              <a:t>I</a:t>
            </a:r>
          </a:p>
        </xdr:txBody>
      </xdr:sp>
    </xdr:grpSp>
    <xdr:clientData/>
  </xdr:twoCellAnchor>
  <xdr:twoCellAnchor>
    <xdr:from>
      <xdr:col>19</xdr:col>
      <xdr:colOff>4347</xdr:colOff>
      <xdr:row>13</xdr:row>
      <xdr:rowOff>4002</xdr:rowOff>
    </xdr:from>
    <xdr:to>
      <xdr:col>24</xdr:col>
      <xdr:colOff>9338</xdr:colOff>
      <xdr:row>16</xdr:row>
      <xdr:rowOff>373530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22528A50-6C88-28B5-1F06-75DEE78A64C8}"/>
            </a:ext>
          </a:extLst>
        </xdr:cNvPr>
        <xdr:cNvGrpSpPr/>
      </xdr:nvGrpSpPr>
      <xdr:grpSpPr>
        <a:xfrm>
          <a:off x="7588061" y="5192859"/>
          <a:ext cx="2000706" cy="1566957"/>
          <a:chOff x="7415704" y="5252355"/>
          <a:chExt cx="3184873" cy="3056534"/>
        </a:xfrm>
      </xdr:grpSpPr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95EBB791-302B-A943-8AAE-26FCC68AB239}"/>
              </a:ext>
            </a:extLst>
          </xdr:cNvPr>
          <xdr:cNvGrpSpPr/>
        </xdr:nvGrpSpPr>
        <xdr:grpSpPr>
          <a:xfrm>
            <a:off x="7415704" y="5252355"/>
            <a:ext cx="3184873" cy="3056534"/>
            <a:chOff x="5969000" y="3563312"/>
            <a:chExt cx="3056466" cy="955052"/>
          </a:xfrm>
        </xdr:grpSpPr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266C08EF-B87D-C15D-56FB-10D25E2141F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969000" y="3564467"/>
              <a:ext cx="3056466" cy="953897"/>
            </a:xfrm>
            <a:prstGeom prst="rect">
              <a:avLst/>
            </a:prstGeom>
          </xdr:spPr>
        </xdr:pic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4B75D940-34F8-57A1-E792-984408471C0A}"/>
                </a:ext>
              </a:extLst>
            </xdr:cNvPr>
            <xdr:cNvSpPr/>
          </xdr:nvSpPr>
          <xdr:spPr>
            <a:xfrm>
              <a:off x="5982239" y="3563312"/>
              <a:ext cx="3038286" cy="926876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885F58F3-4F44-65A6-E1E0-45C6C7BD0AF9}"/>
              </a:ext>
            </a:extLst>
          </xdr:cNvPr>
          <xdr:cNvSpPr/>
        </xdr:nvSpPr>
        <xdr:spPr>
          <a:xfrm>
            <a:off x="8236857" y="5866530"/>
            <a:ext cx="1433286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  <xdr:twoCellAnchor>
    <xdr:from>
      <xdr:col>10</xdr:col>
      <xdr:colOff>382335</xdr:colOff>
      <xdr:row>26</xdr:row>
      <xdr:rowOff>326572</xdr:rowOff>
    </xdr:from>
    <xdr:to>
      <xdr:col>13</xdr:col>
      <xdr:colOff>186766</xdr:colOff>
      <xdr:row>31</xdr:row>
      <xdr:rowOff>242794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61B4A50C-BF60-4C79-E953-3906DBFD5307}"/>
            </a:ext>
          </a:extLst>
        </xdr:cNvPr>
        <xdr:cNvGrpSpPr/>
      </xdr:nvGrpSpPr>
      <xdr:grpSpPr>
        <a:xfrm>
          <a:off x="4373764" y="10704286"/>
          <a:ext cx="1001859" cy="1911937"/>
          <a:chOff x="4236358" y="10468429"/>
          <a:chExt cx="2450052" cy="2540000"/>
        </a:xfrm>
      </xdr:grpSpPr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81963B6B-E927-5546-BA47-F4B5B382E6E7}"/>
              </a:ext>
            </a:extLst>
          </xdr:cNvPr>
          <xdr:cNvGrpSpPr/>
        </xdr:nvGrpSpPr>
        <xdr:grpSpPr>
          <a:xfrm>
            <a:off x="4236358" y="10468429"/>
            <a:ext cx="2450052" cy="2540000"/>
            <a:chOff x="5969000" y="3564467"/>
            <a:chExt cx="3056466" cy="953897"/>
          </a:xfrm>
        </xdr:grpSpPr>
        <xdr:pic>
          <xdr:nvPicPr>
            <xdr:cNvPr id="53" name="Picture 52">
              <a:extLst>
                <a:ext uri="{FF2B5EF4-FFF2-40B4-BE49-F238E27FC236}">
                  <a16:creationId xmlns:a16="http://schemas.microsoft.com/office/drawing/2014/main" id="{FDC6A36E-BAE2-796F-97F0-AA211ABEED1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969000" y="3564467"/>
              <a:ext cx="3056466" cy="953897"/>
            </a:xfrm>
            <a:prstGeom prst="rect">
              <a:avLst/>
            </a:prstGeom>
          </xdr:spPr>
        </xdr:pic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4992B424-6458-2D07-2560-4EF69E147F96}"/>
                </a:ext>
              </a:extLst>
            </xdr:cNvPr>
            <xdr:cNvSpPr/>
          </xdr:nvSpPr>
          <xdr:spPr>
            <a:xfrm>
              <a:off x="5980316" y="3564467"/>
              <a:ext cx="3044193" cy="926643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1" name="Rectangle 70">
            <a:extLst>
              <a:ext uri="{FF2B5EF4-FFF2-40B4-BE49-F238E27FC236}">
                <a16:creationId xmlns:a16="http://schemas.microsoft.com/office/drawing/2014/main" id="{47EE3DE9-E31B-BCD6-0D25-34748B1094CC}"/>
              </a:ext>
            </a:extLst>
          </xdr:cNvPr>
          <xdr:cNvSpPr/>
        </xdr:nvSpPr>
        <xdr:spPr>
          <a:xfrm>
            <a:off x="4953000" y="11146429"/>
            <a:ext cx="952500" cy="948145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5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H</a:t>
            </a:r>
          </a:p>
        </xdr:txBody>
      </xdr:sp>
    </xdr:grpSp>
    <xdr:clientData/>
  </xdr:twoCellAnchor>
  <xdr:twoCellAnchor>
    <xdr:from>
      <xdr:col>1</xdr:col>
      <xdr:colOff>18144</xdr:colOff>
      <xdr:row>26</xdr:row>
      <xdr:rowOff>361982</xdr:rowOff>
    </xdr:from>
    <xdr:to>
      <xdr:col>5</xdr:col>
      <xdr:colOff>9339</xdr:colOff>
      <xdr:row>29</xdr:row>
      <xdr:rowOff>28014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EE5D3647-FDD2-128F-52AE-FE9351C7A5A8}"/>
            </a:ext>
          </a:extLst>
        </xdr:cNvPr>
        <xdr:cNvGrpSpPr/>
      </xdr:nvGrpSpPr>
      <xdr:grpSpPr>
        <a:xfrm>
          <a:off x="417287" y="10739696"/>
          <a:ext cx="1587766" cy="863461"/>
          <a:chOff x="414384" y="10664222"/>
          <a:chExt cx="2616365" cy="2538697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AE280AA3-BB31-B34A-84D2-BCD2E9CA46CD}"/>
              </a:ext>
            </a:extLst>
          </xdr:cNvPr>
          <xdr:cNvGrpSpPr/>
        </xdr:nvGrpSpPr>
        <xdr:grpSpPr>
          <a:xfrm>
            <a:off x="414384" y="10664222"/>
            <a:ext cx="2616365" cy="2538697"/>
            <a:chOff x="279697" y="1629743"/>
            <a:chExt cx="1648539" cy="820118"/>
          </a:xfrm>
        </xdr:grpSpPr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6131311C-227C-2B13-47BB-DEBFE174BD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9697" y="1629743"/>
              <a:ext cx="1648539" cy="820118"/>
            </a:xfrm>
            <a:prstGeom prst="rect">
              <a:avLst/>
            </a:prstGeom>
          </xdr:spPr>
        </xdr:pic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818A6E48-03BD-544F-F0C8-08A691CA9629}"/>
                </a:ext>
              </a:extLst>
            </xdr:cNvPr>
            <xdr:cNvSpPr/>
          </xdr:nvSpPr>
          <xdr:spPr>
            <a:xfrm>
              <a:off x="291292" y="1633012"/>
              <a:ext cx="1623386" cy="790019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099E5DCA-0251-B5AF-E74A-FBFF39D23BED}"/>
              </a:ext>
            </a:extLst>
          </xdr:cNvPr>
          <xdr:cNvSpPr/>
        </xdr:nvSpPr>
        <xdr:spPr>
          <a:xfrm>
            <a:off x="1215935" y="11139036"/>
            <a:ext cx="1019265" cy="115452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6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L</a:t>
            </a:r>
          </a:p>
        </xdr:txBody>
      </xdr:sp>
    </xdr:grpSp>
    <xdr:clientData/>
  </xdr:twoCellAnchor>
  <xdr:twoCellAnchor>
    <xdr:from>
      <xdr:col>5</xdr:col>
      <xdr:colOff>385805</xdr:colOff>
      <xdr:row>37</xdr:row>
      <xdr:rowOff>374277</xdr:rowOff>
    </xdr:from>
    <xdr:to>
      <xdr:col>11</xdr:col>
      <xdr:colOff>1</xdr:colOff>
      <xdr:row>41</xdr:row>
      <xdr:rowOff>46691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2446C212-A9BB-C848-F953-D51BF5BA5366}"/>
            </a:ext>
          </a:extLst>
        </xdr:cNvPr>
        <xdr:cNvGrpSpPr/>
      </xdr:nvGrpSpPr>
      <xdr:grpSpPr>
        <a:xfrm>
          <a:off x="2381519" y="15142563"/>
          <a:ext cx="2009053" cy="1268985"/>
          <a:chOff x="2558143" y="14769568"/>
          <a:chExt cx="2603500" cy="3264432"/>
        </a:xfrm>
      </xdr:grpSpPr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00EED81C-EB54-604F-892E-A1E79F9DFDAB}"/>
              </a:ext>
            </a:extLst>
          </xdr:cNvPr>
          <xdr:cNvGrpSpPr/>
        </xdr:nvGrpSpPr>
        <xdr:grpSpPr>
          <a:xfrm>
            <a:off x="2558143" y="14769568"/>
            <a:ext cx="2603500" cy="3264432"/>
            <a:chOff x="278210" y="2746443"/>
            <a:chExt cx="1666959" cy="820118"/>
          </a:xfrm>
        </xdr:grpSpPr>
        <xdr:pic>
          <xdr:nvPicPr>
            <xdr:cNvPr id="23" name="Picture 22">
              <a:extLst>
                <a:ext uri="{FF2B5EF4-FFF2-40B4-BE49-F238E27FC236}">
                  <a16:creationId xmlns:a16="http://schemas.microsoft.com/office/drawing/2014/main" id="{B1B7D359-3D17-2948-2BD4-CF4854EAA35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6630" y="2746443"/>
              <a:ext cx="1648539" cy="820118"/>
            </a:xfrm>
            <a:prstGeom prst="rect">
              <a:avLst/>
            </a:prstGeom>
          </xdr:spPr>
        </xdr:pic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E5DBE21E-16E9-8603-3368-9CD72B0EB9D9}"/>
                </a:ext>
              </a:extLst>
            </xdr:cNvPr>
            <xdr:cNvSpPr/>
          </xdr:nvSpPr>
          <xdr:spPr>
            <a:xfrm>
              <a:off x="278210" y="2748400"/>
              <a:ext cx="1661150" cy="804487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9BAE0505-3024-52D7-5795-0C04E1B6A3B8}"/>
              </a:ext>
            </a:extLst>
          </xdr:cNvPr>
          <xdr:cNvSpPr/>
        </xdr:nvSpPr>
        <xdr:spPr>
          <a:xfrm>
            <a:off x="3356429" y="15760893"/>
            <a:ext cx="771071" cy="854145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8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M</a:t>
            </a:r>
          </a:p>
        </xdr:txBody>
      </xdr:sp>
    </xdr:grpSp>
    <xdr:clientData/>
  </xdr:twoCellAnchor>
  <xdr:twoCellAnchor>
    <xdr:from>
      <xdr:col>9</xdr:col>
      <xdr:colOff>18140</xdr:colOff>
      <xdr:row>2</xdr:row>
      <xdr:rowOff>387941</xdr:rowOff>
    </xdr:from>
    <xdr:to>
      <xdr:col>11</xdr:col>
      <xdr:colOff>261469</xdr:colOff>
      <xdr:row>6</xdr:row>
      <xdr:rowOff>7471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A2F40FF1-EB95-1AE0-ACCF-E33C264085AD}"/>
            </a:ext>
          </a:extLst>
        </xdr:cNvPr>
        <xdr:cNvGrpSpPr/>
      </xdr:nvGrpSpPr>
      <xdr:grpSpPr>
        <a:xfrm>
          <a:off x="3610426" y="1186227"/>
          <a:ext cx="1041614" cy="1216101"/>
          <a:chOff x="3613420" y="1115787"/>
          <a:chExt cx="1956428" cy="2485569"/>
        </a:xfrm>
      </xdr:grpSpPr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8A526E84-FCAC-BC44-9122-9BC82C2B17A2}"/>
              </a:ext>
            </a:extLst>
          </xdr:cNvPr>
          <xdr:cNvGrpSpPr/>
        </xdr:nvGrpSpPr>
        <xdr:grpSpPr>
          <a:xfrm>
            <a:off x="3613420" y="1115787"/>
            <a:ext cx="1956428" cy="2485569"/>
            <a:chOff x="6169895" y="1900224"/>
            <a:chExt cx="1340038" cy="1308641"/>
          </a:xfrm>
        </xdr:grpSpPr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8FF9F34F-1B8A-3011-A68D-F530DF9F96A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F2F7A932-0C60-6353-6223-700CA824FA7C}"/>
                </a:ext>
              </a:extLst>
            </xdr:cNvPr>
            <xdr:cNvSpPr/>
          </xdr:nvSpPr>
          <xdr:spPr>
            <a:xfrm>
              <a:off x="6169895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6" name="Rectangle 75">
            <a:extLst>
              <a:ext uri="{FF2B5EF4-FFF2-40B4-BE49-F238E27FC236}">
                <a16:creationId xmlns:a16="http://schemas.microsoft.com/office/drawing/2014/main" id="{5364A23C-570A-9765-81B0-1961D3E235CB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32</xdr:col>
      <xdr:colOff>10635</xdr:colOff>
      <xdr:row>28</xdr:row>
      <xdr:rowOff>8269</xdr:rowOff>
    </xdr:from>
    <xdr:to>
      <xdr:col>36</xdr:col>
      <xdr:colOff>18676</xdr:colOff>
      <xdr:row>29</xdr:row>
      <xdr:rowOff>252132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EC2338EC-F57D-C42B-EFF0-F682210BDE7D}"/>
            </a:ext>
          </a:extLst>
        </xdr:cNvPr>
        <xdr:cNvGrpSpPr/>
      </xdr:nvGrpSpPr>
      <xdr:grpSpPr>
        <a:xfrm>
          <a:off x="12783206" y="11184269"/>
          <a:ext cx="1604613" cy="643006"/>
          <a:chOff x="12690315" y="11131003"/>
          <a:chExt cx="2052208" cy="2359298"/>
        </a:xfrm>
      </xdr:grpSpPr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4B04506B-D3B2-DF46-950B-B6A1A2ECFD9E}"/>
              </a:ext>
            </a:extLst>
          </xdr:cNvPr>
          <xdr:cNvGrpSpPr/>
        </xdr:nvGrpSpPr>
        <xdr:grpSpPr>
          <a:xfrm>
            <a:off x="12690315" y="11131003"/>
            <a:ext cx="2052208" cy="2359298"/>
            <a:chOff x="4697150" y="4663166"/>
            <a:chExt cx="1949975" cy="1266768"/>
          </a:xfrm>
        </xdr:grpSpPr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0EB2FE38-A869-AE55-0238-390C3F892A5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697150" y="4664124"/>
              <a:ext cx="1932472" cy="1265810"/>
            </a:xfrm>
            <a:prstGeom prst="rect">
              <a:avLst/>
            </a:prstGeom>
          </xdr:spPr>
        </xdr:pic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D02E056F-1C8E-19AD-8552-6A0310DF1F2C}"/>
                </a:ext>
              </a:extLst>
            </xdr:cNvPr>
            <xdr:cNvSpPr/>
          </xdr:nvSpPr>
          <xdr:spPr>
            <a:xfrm>
              <a:off x="4704394" y="4663166"/>
              <a:ext cx="1942731" cy="1256872"/>
            </a:xfrm>
            <a:prstGeom prst="rect">
              <a:avLst/>
            </a:prstGeom>
            <a:solidFill>
              <a:schemeClr val="accent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54226C87-25E3-049D-643E-C43BC7BA1FBD}"/>
              </a:ext>
            </a:extLst>
          </xdr:cNvPr>
          <xdr:cNvSpPr/>
        </xdr:nvSpPr>
        <xdr:spPr>
          <a:xfrm>
            <a:off x="13302706" y="11895558"/>
            <a:ext cx="980077" cy="866482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8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F</a:t>
            </a:r>
          </a:p>
        </xdr:txBody>
      </xdr:sp>
    </xdr:grpSp>
    <xdr:clientData/>
  </xdr:twoCellAnchor>
  <xdr:twoCellAnchor>
    <xdr:from>
      <xdr:col>18</xdr:col>
      <xdr:colOff>473</xdr:colOff>
      <xdr:row>50</xdr:row>
      <xdr:rowOff>2933</xdr:rowOff>
    </xdr:from>
    <xdr:to>
      <xdr:col>20</xdr:col>
      <xdr:colOff>242794</xdr:colOff>
      <xdr:row>52</xdr:row>
      <xdr:rowOff>18676</xdr:rowOff>
    </xdr:to>
    <xdr:grpSp>
      <xdr:nvGrpSpPr>
        <xdr:cNvPr id="92" name="Group 91">
          <a:extLst>
            <a:ext uri="{FF2B5EF4-FFF2-40B4-BE49-F238E27FC236}">
              <a16:creationId xmlns:a16="http://schemas.microsoft.com/office/drawing/2014/main" id="{F5F75788-5856-4A00-85FF-83F04353EE4A}"/>
            </a:ext>
          </a:extLst>
        </xdr:cNvPr>
        <xdr:cNvGrpSpPr/>
      </xdr:nvGrpSpPr>
      <xdr:grpSpPr>
        <a:xfrm>
          <a:off x="7185044" y="19960076"/>
          <a:ext cx="1040607" cy="814029"/>
          <a:chOff x="7403600" y="19633475"/>
          <a:chExt cx="1431609" cy="2135415"/>
        </a:xfrm>
      </xdr:grpSpPr>
      <xdr:grpSp>
        <xdr:nvGrpSpPr>
          <xdr:cNvPr id="37" name="Group 36">
            <a:extLst>
              <a:ext uri="{FF2B5EF4-FFF2-40B4-BE49-F238E27FC236}">
                <a16:creationId xmlns:a16="http://schemas.microsoft.com/office/drawing/2014/main" id="{CC229D0D-4879-244B-ACCD-B27FFE0423E8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38" name="Picture 37">
              <a:extLst>
                <a:ext uri="{FF2B5EF4-FFF2-40B4-BE49-F238E27FC236}">
                  <a16:creationId xmlns:a16="http://schemas.microsoft.com/office/drawing/2014/main" id="{3ABD0417-DCD6-C431-9086-9EB99FE2BB8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39" name="Rectangle 38">
              <a:extLst>
                <a:ext uri="{FF2B5EF4-FFF2-40B4-BE49-F238E27FC236}">
                  <a16:creationId xmlns:a16="http://schemas.microsoft.com/office/drawing/2014/main" id="{F0EA6BE0-D770-FF0B-F787-FA94A538BB3B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F306BF5D-1945-30FB-A236-75F6BE634871}"/>
              </a:ext>
            </a:extLst>
          </xdr:cNvPr>
          <xdr:cNvSpPr/>
        </xdr:nvSpPr>
        <xdr:spPr>
          <a:xfrm>
            <a:off x="7800703" y="20388496"/>
            <a:ext cx="710837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1</xdr:col>
      <xdr:colOff>16006</xdr:colOff>
      <xdr:row>3</xdr:row>
      <xdr:rowOff>537</xdr:rowOff>
    </xdr:from>
    <xdr:to>
      <xdr:col>3</xdr:col>
      <xdr:colOff>7470</xdr:colOff>
      <xdr:row>4</xdr:row>
      <xdr:rowOff>29882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DC065B45-153C-82D9-429B-3728C3817CD8}"/>
            </a:ext>
          </a:extLst>
        </xdr:cNvPr>
        <xdr:cNvGrpSpPr/>
      </xdr:nvGrpSpPr>
      <xdr:grpSpPr>
        <a:xfrm>
          <a:off x="415149" y="1197966"/>
          <a:ext cx="789750" cy="428487"/>
          <a:chOff x="486956" y="1091837"/>
          <a:chExt cx="1152433" cy="1261292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47D5BCA5-EA47-8349-B542-005CDE33A5CA}"/>
              </a:ext>
            </a:extLst>
          </xdr:cNvPr>
          <xdr:cNvGrpSpPr/>
        </xdr:nvGrpSpPr>
        <xdr:grpSpPr>
          <a:xfrm>
            <a:off x="486956" y="1091837"/>
            <a:ext cx="1152433" cy="1261292"/>
            <a:chOff x="3253006" y="1912346"/>
            <a:chExt cx="1335928" cy="1313453"/>
          </a:xfrm>
          <a:solidFill>
            <a:schemeClr val="accent2">
              <a:lumMod val="75000"/>
            </a:schemeClr>
          </a:solidFill>
        </xdr:grpSpPr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DE4B8FC7-EA68-B684-B955-5A773FEE621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B9C3E019-34FC-5928-D81B-21DA04D66CF2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8AE90FF2-60B2-CA60-E23F-1F5CF3573DF2}"/>
              </a:ext>
            </a:extLst>
          </xdr:cNvPr>
          <xdr:cNvSpPr/>
        </xdr:nvSpPr>
        <xdr:spPr>
          <a:xfrm>
            <a:off x="759098" y="1331836"/>
            <a:ext cx="574765" cy="67861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22</xdr:col>
      <xdr:colOff>382332</xdr:colOff>
      <xdr:row>26</xdr:row>
      <xdr:rowOff>2931</xdr:rowOff>
    </xdr:from>
    <xdr:to>
      <xdr:col>26</xdr:col>
      <xdr:colOff>18676</xdr:colOff>
      <xdr:row>28</xdr:row>
      <xdr:rowOff>18680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15F15B0F-03C2-B5DC-9373-F5D8F56D99A6}"/>
            </a:ext>
          </a:extLst>
        </xdr:cNvPr>
        <xdr:cNvGrpSpPr/>
      </xdr:nvGrpSpPr>
      <xdr:grpSpPr>
        <a:xfrm>
          <a:off x="9163475" y="10380645"/>
          <a:ext cx="1232915" cy="814035"/>
          <a:chOff x="9052922" y="10123712"/>
          <a:chExt cx="2123440" cy="2153557"/>
        </a:xfrm>
      </xdr:grpSpPr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97A4AD4D-A74D-3845-8B94-1DDFE805B8CD}"/>
              </a:ext>
            </a:extLst>
          </xdr:cNvPr>
          <xdr:cNvGrpSpPr/>
        </xdr:nvGrpSpPr>
        <xdr:grpSpPr>
          <a:xfrm>
            <a:off x="9052922" y="10123712"/>
            <a:ext cx="2123440" cy="2153557"/>
            <a:chOff x="2166446" y="4637853"/>
            <a:chExt cx="1951819" cy="1297469"/>
          </a:xfrm>
        </xdr:grpSpPr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58C6637D-7080-0CAD-B3B0-8BBFC45B153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83009" y="4669512"/>
              <a:ext cx="1935256" cy="1265810"/>
            </a:xfrm>
            <a:prstGeom prst="rect">
              <a:avLst/>
            </a:prstGeom>
          </xdr:spPr>
        </xdr:pic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D8180BE8-C7C9-43C2-373C-7249DC179BCE}"/>
                </a:ext>
              </a:extLst>
            </xdr:cNvPr>
            <xdr:cNvSpPr/>
          </xdr:nvSpPr>
          <xdr:spPr>
            <a:xfrm>
              <a:off x="2166446" y="4637853"/>
              <a:ext cx="1943332" cy="1291924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B120FC25-2198-5ECC-D004-D5799B459947}"/>
              </a:ext>
            </a:extLst>
          </xdr:cNvPr>
          <xdr:cNvSpPr/>
        </xdr:nvSpPr>
        <xdr:spPr>
          <a:xfrm>
            <a:off x="9555115" y="10361185"/>
            <a:ext cx="1144096" cy="162477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E</a:t>
            </a:r>
          </a:p>
        </xdr:txBody>
      </xdr:sp>
    </xdr:grpSp>
    <xdr:clientData/>
  </xdr:twoCellAnchor>
  <xdr:twoCellAnchor>
    <xdr:from>
      <xdr:col>22</xdr:col>
      <xdr:colOff>353786</xdr:colOff>
      <xdr:row>36</xdr:row>
      <xdr:rowOff>382067</xdr:rowOff>
    </xdr:from>
    <xdr:to>
      <xdr:col>26</xdr:col>
      <xdr:colOff>18676</xdr:colOff>
      <xdr:row>38</xdr:row>
      <xdr:rowOff>0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50481D27-C504-85DB-F391-0BBB00734969}"/>
            </a:ext>
          </a:extLst>
        </xdr:cNvPr>
        <xdr:cNvGrpSpPr/>
      </xdr:nvGrpSpPr>
      <xdr:grpSpPr>
        <a:xfrm>
          <a:off x="9134929" y="14751210"/>
          <a:ext cx="1261461" cy="416219"/>
          <a:chOff x="9071066" y="14609355"/>
          <a:chExt cx="1330960" cy="1258388"/>
        </a:xfrm>
      </xdr:grpSpPr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A523B5C5-D7EC-6040-86CE-7107A95508FC}"/>
              </a:ext>
            </a:extLst>
          </xdr:cNvPr>
          <xdr:cNvGrpSpPr/>
        </xdr:nvGrpSpPr>
        <xdr:grpSpPr>
          <a:xfrm>
            <a:off x="9071066" y="14609355"/>
            <a:ext cx="1330960" cy="1258388"/>
            <a:chOff x="4656034" y="4721593"/>
            <a:chExt cx="1973588" cy="1275182"/>
          </a:xfrm>
        </xdr:grpSpPr>
        <xdr:pic>
          <xdr:nvPicPr>
            <xdr:cNvPr id="45" name="Picture 44">
              <a:extLst>
                <a:ext uri="{FF2B5EF4-FFF2-40B4-BE49-F238E27FC236}">
                  <a16:creationId xmlns:a16="http://schemas.microsoft.com/office/drawing/2014/main" id="{3A76DC3E-10A2-E86F-90D2-9B660399E9D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697150" y="4730964"/>
              <a:ext cx="1932472" cy="1265810"/>
            </a:xfrm>
            <a:prstGeom prst="rect">
              <a:avLst/>
            </a:prstGeom>
          </xdr:spPr>
        </xdr:pic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D6A7AC05-F70E-A2C7-FB4B-AFFF045CA49E}"/>
                </a:ext>
              </a:extLst>
            </xdr:cNvPr>
            <xdr:cNvSpPr/>
          </xdr:nvSpPr>
          <xdr:spPr>
            <a:xfrm>
              <a:off x="4656034" y="4721593"/>
              <a:ext cx="1973588" cy="1275182"/>
            </a:xfrm>
            <a:prstGeom prst="rect">
              <a:avLst/>
            </a:prstGeom>
            <a:solidFill>
              <a:schemeClr val="accent3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BB5B9F52-EB9E-1AE8-42E6-84FD67FEFFF0}"/>
              </a:ext>
            </a:extLst>
          </xdr:cNvPr>
          <xdr:cNvSpPr/>
        </xdr:nvSpPr>
        <xdr:spPr>
          <a:xfrm>
            <a:off x="9499600" y="14829823"/>
            <a:ext cx="48768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G</a:t>
            </a:r>
          </a:p>
        </xdr:txBody>
      </xdr:sp>
    </xdr:grpSp>
    <xdr:clientData/>
  </xdr:twoCellAnchor>
  <xdr:twoCellAnchor>
    <xdr:from>
      <xdr:col>3</xdr:col>
      <xdr:colOff>2991</xdr:colOff>
      <xdr:row>47</xdr:row>
      <xdr:rowOff>9259</xdr:rowOff>
    </xdr:from>
    <xdr:to>
      <xdr:col>6</xdr:col>
      <xdr:colOff>9339</xdr:colOff>
      <xdr:row>48</xdr:row>
      <xdr:rowOff>37353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7E174916-09BB-8601-E884-2A57BE5594B4}"/>
            </a:ext>
          </a:extLst>
        </xdr:cNvPr>
        <xdr:cNvGrpSpPr/>
      </xdr:nvGrpSpPr>
      <xdr:grpSpPr>
        <a:xfrm>
          <a:off x="1200420" y="18768973"/>
          <a:ext cx="1203776" cy="427237"/>
          <a:chOff x="1341121" y="18600490"/>
          <a:chExt cx="1087120" cy="1201349"/>
        </a:xfrm>
      </xdr:grpSpPr>
      <xdr:grpSp>
        <xdr:nvGrpSpPr>
          <xdr:cNvPr id="56" name="Group 55">
            <a:extLst>
              <a:ext uri="{FF2B5EF4-FFF2-40B4-BE49-F238E27FC236}">
                <a16:creationId xmlns:a16="http://schemas.microsoft.com/office/drawing/2014/main" id="{86680988-0F32-2A43-883E-95E67B843C17}"/>
              </a:ext>
            </a:extLst>
          </xdr:cNvPr>
          <xdr:cNvGrpSpPr/>
        </xdr:nvGrpSpPr>
        <xdr:grpSpPr>
          <a:xfrm>
            <a:off x="1341121" y="18600490"/>
            <a:ext cx="1087120" cy="1201349"/>
            <a:chOff x="288607" y="2746443"/>
            <a:chExt cx="1672192" cy="820118"/>
          </a:xfrm>
        </xdr:grpSpPr>
        <xdr:pic>
          <xdr:nvPicPr>
            <xdr:cNvPr id="57" name="Picture 56">
              <a:extLst>
                <a:ext uri="{FF2B5EF4-FFF2-40B4-BE49-F238E27FC236}">
                  <a16:creationId xmlns:a16="http://schemas.microsoft.com/office/drawing/2014/main" id="{968B916D-47F2-A42A-677F-6AB169FDC2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6630" y="2746443"/>
              <a:ext cx="1648539" cy="820118"/>
            </a:xfrm>
            <a:prstGeom prst="rect">
              <a:avLst/>
            </a:prstGeom>
          </xdr:spPr>
        </xdr:pic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5C19F9F2-19A8-E638-C34A-9F4EB7545763}"/>
                </a:ext>
              </a:extLst>
            </xdr:cNvPr>
            <xdr:cNvSpPr/>
          </xdr:nvSpPr>
          <xdr:spPr>
            <a:xfrm>
              <a:off x="288607" y="2748129"/>
              <a:ext cx="1672192" cy="797625"/>
            </a:xfrm>
            <a:prstGeom prst="rect">
              <a:avLst/>
            </a:prstGeom>
            <a:solidFill>
              <a:schemeClr val="accent6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56A7CC7C-8D9A-306A-A138-66C0A7DB857B}"/>
              </a:ext>
            </a:extLst>
          </xdr:cNvPr>
          <xdr:cNvSpPr/>
        </xdr:nvSpPr>
        <xdr:spPr>
          <a:xfrm>
            <a:off x="1686560" y="18915796"/>
            <a:ext cx="375920" cy="603691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K</a:t>
            </a:r>
          </a:p>
        </xdr:txBody>
      </xdr:sp>
    </xdr:grpSp>
    <xdr:clientData/>
  </xdr:twoCellAnchor>
  <xdr:twoCellAnchor>
    <xdr:from>
      <xdr:col>9</xdr:col>
      <xdr:colOff>6575</xdr:colOff>
      <xdr:row>49</xdr:row>
      <xdr:rowOff>379219</xdr:rowOff>
    </xdr:from>
    <xdr:to>
      <xdr:col>11</xdr:col>
      <xdr:colOff>9338</xdr:colOff>
      <xdr:row>50</xdr:row>
      <xdr:rowOff>382869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CEB9D29C-494E-0D08-4F01-2F832AADBDFB}"/>
            </a:ext>
          </a:extLst>
        </xdr:cNvPr>
        <xdr:cNvGrpSpPr/>
      </xdr:nvGrpSpPr>
      <xdr:grpSpPr>
        <a:xfrm>
          <a:off x="3598861" y="19937219"/>
          <a:ext cx="801048" cy="402793"/>
          <a:chOff x="3647441" y="19785639"/>
          <a:chExt cx="1168400" cy="1265881"/>
        </a:xfrm>
      </xdr:grpSpPr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9918BC5F-4C79-0445-B4A3-C615328749A4}"/>
              </a:ext>
            </a:extLst>
          </xdr:cNvPr>
          <xdr:cNvGrpSpPr/>
        </xdr:nvGrpSpPr>
        <xdr:grpSpPr>
          <a:xfrm>
            <a:off x="3647441" y="19785639"/>
            <a:ext cx="1168400" cy="1265881"/>
            <a:chOff x="3262466" y="1921933"/>
            <a:chExt cx="1326467" cy="1303866"/>
          </a:xfrm>
        </xdr:grpSpPr>
        <xdr:pic>
          <xdr:nvPicPr>
            <xdr:cNvPr id="35" name="Picture 34">
              <a:extLst>
                <a:ext uri="{FF2B5EF4-FFF2-40B4-BE49-F238E27FC236}">
                  <a16:creationId xmlns:a16="http://schemas.microsoft.com/office/drawing/2014/main" id="{E9861B2F-3158-825E-FA10-BF9BC385DE0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36" name="Rectangle 35">
              <a:extLst>
                <a:ext uri="{FF2B5EF4-FFF2-40B4-BE49-F238E27FC236}">
                  <a16:creationId xmlns:a16="http://schemas.microsoft.com/office/drawing/2014/main" id="{9AAF39CE-398B-883D-5417-6186828F9458}"/>
                </a:ext>
              </a:extLst>
            </xdr:cNvPr>
            <xdr:cNvSpPr/>
          </xdr:nvSpPr>
          <xdr:spPr>
            <a:xfrm>
              <a:off x="3262466" y="1928155"/>
              <a:ext cx="1326466" cy="1297643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1F0EE2B0-67E7-B859-3BFD-F2ABB34800EE}"/>
              </a:ext>
            </a:extLst>
          </xdr:cNvPr>
          <xdr:cNvSpPr/>
        </xdr:nvSpPr>
        <xdr:spPr>
          <a:xfrm>
            <a:off x="3921760" y="20041903"/>
            <a:ext cx="51816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238718</xdr:colOff>
      <xdr:row>21</xdr:row>
      <xdr:rowOff>202135</xdr:rowOff>
    </xdr:from>
    <xdr:to>
      <xdr:col>35</xdr:col>
      <xdr:colOff>156747</xdr:colOff>
      <xdr:row>21</xdr:row>
      <xdr:rowOff>225290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50B9DE4-99A2-C148-AA4E-78DF5D544FC3}"/>
            </a:ext>
          </a:extLst>
        </xdr:cNvPr>
        <xdr:cNvCxnSpPr>
          <a:stCxn id="20" idx="3"/>
          <a:endCxn id="25" idx="1"/>
        </xdr:cNvCxnSpPr>
      </xdr:nvCxnSpPr>
      <xdr:spPr>
        <a:xfrm flipV="1">
          <a:off x="12430718" y="8736535"/>
          <a:ext cx="1950029" cy="23155"/>
        </a:xfrm>
        <a:prstGeom prst="straightConnector1">
          <a:avLst/>
        </a:prstGeom>
        <a:noFill/>
        <a:ln w="79375" cap="flat">
          <a:solidFill>
            <a:srgbClr val="00B050"/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23</xdr:col>
      <xdr:colOff>130628</xdr:colOff>
      <xdr:row>13</xdr:row>
      <xdr:rowOff>90922</xdr:rowOff>
    </xdr:from>
    <xdr:to>
      <xdr:col>25</xdr:col>
      <xdr:colOff>79841</xdr:colOff>
      <xdr:row>13</xdr:row>
      <xdr:rowOff>162558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2E72C49-D5B5-CA43-A992-A296262614A3}"/>
            </a:ext>
          </a:extLst>
        </xdr:cNvPr>
        <xdr:cNvCxnSpPr>
          <a:stCxn id="60" idx="3"/>
          <a:endCxn id="45" idx="1"/>
        </xdr:cNvCxnSpPr>
      </xdr:nvCxnSpPr>
      <xdr:spPr>
        <a:xfrm flipV="1">
          <a:off x="9477828" y="5374122"/>
          <a:ext cx="762013" cy="71636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27</xdr:col>
      <xdr:colOff>259449</xdr:colOff>
      <xdr:row>16</xdr:row>
      <xdr:rowOff>166913</xdr:rowOff>
    </xdr:from>
    <xdr:to>
      <xdr:col>27</xdr:col>
      <xdr:colOff>265880</xdr:colOff>
      <xdr:row>18</xdr:row>
      <xdr:rowOff>167552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A8542BF-310F-3B44-B7D0-92EFD7AA3192}"/>
            </a:ext>
          </a:extLst>
        </xdr:cNvPr>
        <xdr:cNvCxnSpPr>
          <a:stCxn id="20" idx="0"/>
          <a:endCxn id="45" idx="2"/>
        </xdr:cNvCxnSpPr>
      </xdr:nvCxnSpPr>
      <xdr:spPr>
        <a:xfrm flipH="1" flipV="1">
          <a:off x="11232249" y="6669313"/>
          <a:ext cx="6431" cy="813439"/>
        </a:xfrm>
        <a:prstGeom prst="straightConnector1">
          <a:avLst/>
        </a:prstGeom>
        <a:noFill/>
        <a:ln w="34925" cap="flat">
          <a:solidFill>
            <a:schemeClr val="accent5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29</xdr:col>
      <xdr:colOff>239207</xdr:colOff>
      <xdr:row>50</xdr:row>
      <xdr:rowOff>203199</xdr:rowOff>
    </xdr:from>
    <xdr:to>
      <xdr:col>36</xdr:col>
      <xdr:colOff>93030</xdr:colOff>
      <xdr:row>54</xdr:row>
      <xdr:rowOff>133725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B1203F3-5F36-0A47-BA93-CC18A6899162}"/>
            </a:ext>
          </a:extLst>
        </xdr:cNvPr>
        <xdr:cNvCxnSpPr>
          <a:stCxn id="35" idx="2"/>
          <a:endCxn id="40" idx="0"/>
        </xdr:cNvCxnSpPr>
      </xdr:nvCxnSpPr>
      <xdr:spPr>
        <a:xfrm>
          <a:off x="12024807" y="20523199"/>
          <a:ext cx="2698623" cy="1556126"/>
        </a:xfrm>
        <a:prstGeom prst="straightConnector1">
          <a:avLst/>
        </a:prstGeom>
        <a:noFill/>
        <a:ln w="381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10</xdr:col>
      <xdr:colOff>335335</xdr:colOff>
      <xdr:row>11</xdr:row>
      <xdr:rowOff>344479</xdr:rowOff>
    </xdr:from>
    <xdr:to>
      <xdr:col>15</xdr:col>
      <xdr:colOff>42680</xdr:colOff>
      <xdr:row>13</xdr:row>
      <xdr:rowOff>146535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77900D4-84D1-5943-A7CE-846EEFCA9A50}"/>
            </a:ext>
          </a:extLst>
        </xdr:cNvPr>
        <xdr:cNvCxnSpPr>
          <a:stCxn id="80" idx="0"/>
          <a:endCxn id="55" idx="1"/>
        </xdr:cNvCxnSpPr>
      </xdr:nvCxnSpPr>
      <xdr:spPr>
        <a:xfrm>
          <a:off x="4399335" y="4814879"/>
          <a:ext cx="1739345" cy="614856"/>
        </a:xfrm>
        <a:prstGeom prst="straightConnector1">
          <a:avLst/>
        </a:prstGeom>
        <a:noFill/>
        <a:ln w="12700" cap="flat">
          <a:solidFill>
            <a:schemeClr val="tx1">
              <a:lumMod val="85000"/>
              <a:lumOff val="1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42</xdr:col>
      <xdr:colOff>90911</xdr:colOff>
      <xdr:row>32</xdr:row>
      <xdr:rowOff>339269</xdr:rowOff>
    </xdr:from>
    <xdr:to>
      <xdr:col>42</xdr:col>
      <xdr:colOff>100846</xdr:colOff>
      <xdr:row>34</xdr:row>
      <xdr:rowOff>366483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C5AE2C6-88ED-344D-A8E0-594039E79329}"/>
            </a:ext>
          </a:extLst>
        </xdr:cNvPr>
        <xdr:cNvCxnSpPr>
          <a:stCxn id="65" idx="2"/>
          <a:endCxn id="51" idx="0"/>
        </xdr:cNvCxnSpPr>
      </xdr:nvCxnSpPr>
      <xdr:spPr>
        <a:xfrm>
          <a:off x="17159711" y="13344069"/>
          <a:ext cx="9935" cy="840014"/>
        </a:xfrm>
        <a:prstGeom prst="straightConnector1">
          <a:avLst/>
        </a:prstGeom>
        <a:noFill/>
        <a:ln w="381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30</xdr:col>
      <xdr:colOff>283796</xdr:colOff>
      <xdr:row>29</xdr:row>
      <xdr:rowOff>358322</xdr:rowOff>
    </xdr:from>
    <xdr:to>
      <xdr:col>32</xdr:col>
      <xdr:colOff>319125</xdr:colOff>
      <xdr:row>30</xdr:row>
      <xdr:rowOff>59202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86BB834-1851-8649-A797-5912537A46AA}"/>
            </a:ext>
          </a:extLst>
        </xdr:cNvPr>
        <xdr:cNvCxnSpPr>
          <a:stCxn id="30" idx="3"/>
          <a:endCxn id="70" idx="1"/>
        </xdr:cNvCxnSpPr>
      </xdr:nvCxnSpPr>
      <xdr:spPr>
        <a:xfrm>
          <a:off x="12475796" y="12143922"/>
          <a:ext cx="848129" cy="107280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ysDash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12</xdr:col>
      <xdr:colOff>111761</xdr:colOff>
      <xdr:row>13</xdr:row>
      <xdr:rowOff>146535</xdr:rowOff>
    </xdr:from>
    <xdr:to>
      <xdr:col>15</xdr:col>
      <xdr:colOff>42680</xdr:colOff>
      <xdr:row>13</xdr:row>
      <xdr:rowOff>184940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FAC6CD3-FC9C-824F-B3F7-49412D39978C}"/>
            </a:ext>
          </a:extLst>
        </xdr:cNvPr>
        <xdr:cNvCxnSpPr>
          <a:stCxn id="80" idx="3"/>
          <a:endCxn id="55" idx="1"/>
        </xdr:cNvCxnSpPr>
      </xdr:nvCxnSpPr>
      <xdr:spPr>
        <a:xfrm flipV="1">
          <a:off x="4988561" y="5429735"/>
          <a:ext cx="1150119" cy="38405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ysDash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18</xdr:col>
      <xdr:colOff>295728</xdr:colOff>
      <xdr:row>13</xdr:row>
      <xdr:rowOff>143699</xdr:rowOff>
    </xdr:from>
    <xdr:to>
      <xdr:col>20</xdr:col>
      <xdr:colOff>166916</xdr:colOff>
      <xdr:row>13</xdr:row>
      <xdr:rowOff>146535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F129088-897E-0744-B4CC-9FB36717827F}"/>
            </a:ext>
          </a:extLst>
        </xdr:cNvPr>
        <xdr:cNvCxnSpPr>
          <a:stCxn id="55" idx="3"/>
          <a:endCxn id="61" idx="1"/>
        </xdr:cNvCxnSpPr>
      </xdr:nvCxnSpPr>
      <xdr:spPr>
        <a:xfrm flipV="1">
          <a:off x="7610928" y="5426899"/>
          <a:ext cx="683988" cy="2836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ysDash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36</xdr:col>
      <xdr:colOff>48986</xdr:colOff>
      <xdr:row>30</xdr:row>
      <xdr:rowOff>45180</xdr:rowOff>
    </xdr:from>
    <xdr:to>
      <xdr:col>39</xdr:col>
      <xdr:colOff>208642</xdr:colOff>
      <xdr:row>30</xdr:row>
      <xdr:rowOff>54429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88C87C0-2696-C844-A609-130CDFFAC95C}"/>
            </a:ext>
          </a:extLst>
        </xdr:cNvPr>
        <xdr:cNvCxnSpPr>
          <a:stCxn id="66" idx="1"/>
          <a:endCxn id="71" idx="3"/>
        </xdr:cNvCxnSpPr>
      </xdr:nvCxnSpPr>
      <xdr:spPr>
        <a:xfrm flipH="1">
          <a:off x="14679386" y="12237180"/>
          <a:ext cx="1378856" cy="9249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ysDash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36</xdr:col>
      <xdr:colOff>48986</xdr:colOff>
      <xdr:row>30</xdr:row>
      <xdr:rowOff>54429</xdr:rowOff>
    </xdr:from>
    <xdr:to>
      <xdr:col>42</xdr:col>
      <xdr:colOff>100846</xdr:colOff>
      <xdr:row>34</xdr:row>
      <xdr:rowOff>366483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E32C87B-56EF-244E-BBE3-F4497DD4D0FC}"/>
            </a:ext>
          </a:extLst>
        </xdr:cNvPr>
        <xdr:cNvCxnSpPr>
          <a:stCxn id="71" idx="3"/>
          <a:endCxn id="51" idx="0"/>
        </xdr:cNvCxnSpPr>
      </xdr:nvCxnSpPr>
      <xdr:spPr>
        <a:xfrm>
          <a:off x="14679386" y="12246429"/>
          <a:ext cx="2490260" cy="1937654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ysDash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27</xdr:col>
      <xdr:colOff>220820</xdr:colOff>
      <xdr:row>24</xdr:row>
      <xdr:rowOff>283028</xdr:rowOff>
    </xdr:from>
    <xdr:to>
      <xdr:col>27</xdr:col>
      <xdr:colOff>265880</xdr:colOff>
      <xdr:row>26</xdr:row>
      <xdr:rowOff>250372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36FE6D8E-67EA-4743-A47E-4B39370A8533}"/>
            </a:ext>
          </a:extLst>
        </xdr:cNvPr>
        <xdr:cNvCxnSpPr>
          <a:stCxn id="30" idx="0"/>
          <a:endCxn id="20" idx="2"/>
        </xdr:cNvCxnSpPr>
      </xdr:nvCxnSpPr>
      <xdr:spPr>
        <a:xfrm flipV="1">
          <a:off x="11193620" y="10036628"/>
          <a:ext cx="45060" cy="780144"/>
        </a:xfrm>
        <a:prstGeom prst="straightConnector1">
          <a:avLst/>
        </a:prstGeom>
        <a:noFill/>
        <a:ln w="12700" cap="flat">
          <a:solidFill>
            <a:schemeClr val="tx1">
              <a:lumMod val="85000"/>
              <a:lumOff val="1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30</xdr:col>
      <xdr:colOff>355601</xdr:colOff>
      <xdr:row>58</xdr:row>
      <xdr:rowOff>187604</xdr:rowOff>
    </xdr:from>
    <xdr:to>
      <xdr:col>32</xdr:col>
      <xdr:colOff>344714</xdr:colOff>
      <xdr:row>58</xdr:row>
      <xdr:rowOff>189450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BA4B70D-8B18-ED44-8BB2-921C8F1E07DD}"/>
            </a:ext>
          </a:extLst>
        </xdr:cNvPr>
        <xdr:cNvCxnSpPr>
          <a:stCxn id="41" idx="1"/>
          <a:endCxn id="76" idx="3"/>
        </xdr:cNvCxnSpPr>
      </xdr:nvCxnSpPr>
      <xdr:spPr>
        <a:xfrm flipH="1" flipV="1">
          <a:off x="12547601" y="23758804"/>
          <a:ext cx="801913" cy="1846"/>
        </a:xfrm>
        <a:prstGeom prst="straightConnector1">
          <a:avLst/>
        </a:prstGeom>
        <a:noFill/>
        <a:ln w="12700" cap="flat">
          <a:solidFill>
            <a:schemeClr val="tx1">
              <a:lumMod val="85000"/>
              <a:lumOff val="1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29</xdr:col>
      <xdr:colOff>200659</xdr:colOff>
      <xdr:row>50</xdr:row>
      <xdr:rowOff>117820</xdr:rowOff>
    </xdr:from>
    <xdr:to>
      <xdr:col>29</xdr:col>
      <xdr:colOff>237613</xdr:colOff>
      <xdr:row>56</xdr:row>
      <xdr:rowOff>398850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9BBA411D-0C83-8B45-9440-295061FD2CB1}"/>
            </a:ext>
          </a:extLst>
        </xdr:cNvPr>
        <xdr:cNvCxnSpPr>
          <a:stCxn id="36" idx="2"/>
          <a:endCxn id="75" idx="0"/>
        </xdr:cNvCxnSpPr>
      </xdr:nvCxnSpPr>
      <xdr:spPr>
        <a:xfrm flipH="1">
          <a:off x="11986259" y="20437820"/>
          <a:ext cx="36954" cy="2719430"/>
        </a:xfrm>
        <a:prstGeom prst="straightConnector1">
          <a:avLst/>
        </a:prstGeom>
        <a:noFill/>
        <a:ln w="12700" cap="flat">
          <a:solidFill>
            <a:schemeClr val="tx1">
              <a:lumMod val="85000"/>
              <a:lumOff val="1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29</xdr:col>
      <xdr:colOff>239207</xdr:colOff>
      <xdr:row>50</xdr:row>
      <xdr:rowOff>203199</xdr:rowOff>
    </xdr:from>
    <xdr:to>
      <xdr:col>32</xdr:col>
      <xdr:colOff>344714</xdr:colOff>
      <xdr:row>58</xdr:row>
      <xdr:rowOff>189450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47C4142-1B96-A74F-A8B8-0DE5B41A3BD2}"/>
            </a:ext>
          </a:extLst>
        </xdr:cNvPr>
        <xdr:cNvCxnSpPr>
          <a:stCxn id="35" idx="2"/>
          <a:endCxn id="41" idx="1"/>
        </xdr:cNvCxnSpPr>
      </xdr:nvCxnSpPr>
      <xdr:spPr>
        <a:xfrm>
          <a:off x="12024807" y="20523199"/>
          <a:ext cx="1324707" cy="3237451"/>
        </a:xfrm>
        <a:prstGeom prst="straightConnector1">
          <a:avLst/>
        </a:prstGeom>
        <a:noFill/>
        <a:ln w="12700" cap="flat">
          <a:solidFill>
            <a:schemeClr val="tx1">
              <a:lumMod val="85000"/>
              <a:lumOff val="1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24</xdr:col>
      <xdr:colOff>208643</xdr:colOff>
      <xdr:row>18</xdr:row>
      <xdr:rowOff>166912</xdr:rowOff>
    </xdr:from>
    <xdr:to>
      <xdr:col>30</xdr:col>
      <xdr:colOff>238718</xdr:colOff>
      <xdr:row>24</xdr:row>
      <xdr:rowOff>283028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6191104D-9204-FF44-A232-981D909BBE6E}"/>
            </a:ext>
          </a:extLst>
        </xdr:cNvPr>
        <xdr:cNvGrpSpPr/>
      </xdr:nvGrpSpPr>
      <xdr:grpSpPr>
        <a:xfrm>
          <a:off x="9587105" y="7200758"/>
          <a:ext cx="2374690" cy="2460732"/>
          <a:chOff x="398610" y="5025569"/>
          <a:chExt cx="2368176" cy="2440216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836C87EB-5D48-ACD3-BCC4-91BD71FAEB1E}"/>
              </a:ext>
            </a:extLst>
          </xdr:cNvPr>
          <xdr:cNvGrpSpPr/>
        </xdr:nvGrpSpPr>
        <xdr:grpSpPr>
          <a:xfrm>
            <a:off x="398610" y="5025569"/>
            <a:ext cx="2368176" cy="2440216"/>
            <a:chOff x="1705668" y="3495864"/>
            <a:chExt cx="3164668" cy="954136"/>
          </a:xfrm>
        </xdr:grpSpPr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61CE78D9-0E33-CFD3-E6F4-68939A6EE17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813870" y="3496103"/>
              <a:ext cx="3056466" cy="953897"/>
            </a:xfrm>
            <a:prstGeom prst="rect">
              <a:avLst/>
            </a:prstGeom>
          </xdr:spPr>
        </xdr:pic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16334043-395C-7F51-1DAE-624299AB3285}"/>
                </a:ext>
              </a:extLst>
            </xdr:cNvPr>
            <xdr:cNvSpPr/>
          </xdr:nvSpPr>
          <xdr:spPr>
            <a:xfrm>
              <a:off x="1705668" y="3495864"/>
              <a:ext cx="3091222" cy="93285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BE46E2DB-A617-0195-48FF-EC29DDCC500C}"/>
              </a:ext>
            </a:extLst>
          </xdr:cNvPr>
          <xdr:cNvSpPr txBox="1"/>
        </xdr:nvSpPr>
        <xdr:spPr>
          <a:xfrm>
            <a:off x="1097642" y="5669643"/>
            <a:ext cx="807357" cy="111235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50800" tIns="50800" rIns="50800" bIns="50800" numCol="1" spcCol="38100" rtlCol="0" anchor="t">
            <a:spAutoFit/>
          </a:bodyPr>
          <a:lstStyle/>
          <a:p>
            <a:pPr marL="0" marR="0" indent="0" algn="l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6600" b="0" i="0" u="none" strike="noStrike" cap="none" spc="0" normalizeH="0" baseline="0">
                <a:ln>
                  <a:noFill/>
                </a:ln>
                <a:solidFill>
                  <a:schemeClr val="bg1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rPr>
              <a:t>I</a:t>
            </a:r>
          </a:p>
        </xdr:txBody>
      </xdr:sp>
    </xdr:grpSp>
    <xdr:clientData/>
  </xdr:twoCellAnchor>
  <xdr:twoCellAnchor>
    <xdr:from>
      <xdr:col>35</xdr:col>
      <xdr:colOff>156747</xdr:colOff>
      <xdr:row>17</xdr:row>
      <xdr:rowOff>232226</xdr:rowOff>
    </xdr:from>
    <xdr:to>
      <xdr:col>43</xdr:col>
      <xdr:colOff>221048</xdr:colOff>
      <xdr:row>25</xdr:row>
      <xdr:rowOff>168189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F72D1251-3808-F740-AB1E-CA25E7E1DBBC}"/>
            </a:ext>
          </a:extLst>
        </xdr:cNvPr>
        <xdr:cNvGrpSpPr/>
      </xdr:nvGrpSpPr>
      <xdr:grpSpPr>
        <a:xfrm>
          <a:off x="13833670" y="6875303"/>
          <a:ext cx="3190455" cy="3062117"/>
          <a:chOff x="7415704" y="5252355"/>
          <a:chExt cx="3184873" cy="3056534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3B2FE72B-7A66-D459-B9F2-66C8503FA277}"/>
              </a:ext>
            </a:extLst>
          </xdr:cNvPr>
          <xdr:cNvGrpSpPr/>
        </xdr:nvGrpSpPr>
        <xdr:grpSpPr>
          <a:xfrm>
            <a:off x="7415704" y="5252355"/>
            <a:ext cx="3184873" cy="3056534"/>
            <a:chOff x="5969000" y="3563312"/>
            <a:chExt cx="3056466" cy="955052"/>
          </a:xfrm>
        </xdr:grpSpPr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C98A2ADF-0E94-FE08-E68F-F149B9892FD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969000" y="3564467"/>
              <a:ext cx="3056466" cy="953897"/>
            </a:xfrm>
            <a:prstGeom prst="rect">
              <a:avLst/>
            </a:prstGeom>
          </xdr:spPr>
        </xdr:pic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13798FAC-0CA9-4AFC-0235-7B5B32FDC495}"/>
                </a:ext>
              </a:extLst>
            </xdr:cNvPr>
            <xdr:cNvSpPr/>
          </xdr:nvSpPr>
          <xdr:spPr>
            <a:xfrm>
              <a:off x="5982239" y="3563312"/>
              <a:ext cx="3038286" cy="926876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EBD775A2-B566-D662-BE34-98158F2684F6}"/>
              </a:ext>
            </a:extLst>
          </xdr:cNvPr>
          <xdr:cNvSpPr/>
        </xdr:nvSpPr>
        <xdr:spPr>
          <a:xfrm>
            <a:off x="8236857" y="5866530"/>
            <a:ext cx="1433286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  <xdr:twoCellAnchor>
    <xdr:from>
      <xdr:col>24</xdr:col>
      <xdr:colOff>157844</xdr:colOff>
      <xdr:row>26</xdr:row>
      <xdr:rowOff>250372</xdr:rowOff>
    </xdr:from>
    <xdr:to>
      <xdr:col>30</xdr:col>
      <xdr:colOff>283796</xdr:colOff>
      <xdr:row>33</xdr:row>
      <xdr:rowOff>59872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DEECCAD6-86F5-0944-98E7-03DA0745FCC2}"/>
            </a:ext>
          </a:extLst>
        </xdr:cNvPr>
        <xdr:cNvGrpSpPr/>
      </xdr:nvGrpSpPr>
      <xdr:grpSpPr>
        <a:xfrm>
          <a:off x="9536306" y="10410372"/>
          <a:ext cx="2470567" cy="2544885"/>
          <a:chOff x="4236358" y="10468429"/>
          <a:chExt cx="2450052" cy="2540000"/>
        </a:xfrm>
      </xdr:grpSpPr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154186EF-C6F1-BD4B-2669-C2B7F7F8D180}"/>
              </a:ext>
            </a:extLst>
          </xdr:cNvPr>
          <xdr:cNvGrpSpPr/>
        </xdr:nvGrpSpPr>
        <xdr:grpSpPr>
          <a:xfrm>
            <a:off x="4236358" y="10468429"/>
            <a:ext cx="2450052" cy="2540000"/>
            <a:chOff x="5969000" y="3564467"/>
            <a:chExt cx="3056466" cy="953897"/>
          </a:xfrm>
        </xdr:grpSpPr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4CD220F3-A46C-AF67-9D07-198D0087419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969000" y="3564467"/>
              <a:ext cx="3056466" cy="953897"/>
            </a:xfrm>
            <a:prstGeom prst="rect">
              <a:avLst/>
            </a:prstGeom>
          </xdr:spPr>
        </xdr:pic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9B531330-1414-56CD-E3E3-25711F6E102F}"/>
                </a:ext>
              </a:extLst>
            </xdr:cNvPr>
            <xdr:cNvSpPr/>
          </xdr:nvSpPr>
          <xdr:spPr>
            <a:xfrm>
              <a:off x="5980316" y="3564467"/>
              <a:ext cx="3044193" cy="926643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79EB330A-8F9F-8384-C57A-5150556168FA}"/>
              </a:ext>
            </a:extLst>
          </xdr:cNvPr>
          <xdr:cNvSpPr/>
        </xdr:nvSpPr>
        <xdr:spPr>
          <a:xfrm>
            <a:off x="4953000" y="11146429"/>
            <a:ext cx="952500" cy="948145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5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H</a:t>
            </a:r>
          </a:p>
        </xdr:txBody>
      </xdr:sp>
    </xdr:grpSp>
    <xdr:clientData/>
  </xdr:twoCellAnchor>
  <xdr:twoCellAnchor>
    <xdr:from>
      <xdr:col>26</xdr:col>
      <xdr:colOff>119744</xdr:colOff>
      <xdr:row>44</xdr:row>
      <xdr:rowOff>31782</xdr:rowOff>
    </xdr:from>
    <xdr:to>
      <xdr:col>32</xdr:col>
      <xdr:colOff>358669</xdr:colOff>
      <xdr:row>50</xdr:row>
      <xdr:rowOff>203199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9D901B6C-0050-F241-B9A3-73E52864BAEE}"/>
            </a:ext>
          </a:extLst>
        </xdr:cNvPr>
        <xdr:cNvGrpSpPr/>
      </xdr:nvGrpSpPr>
      <xdr:grpSpPr>
        <a:xfrm>
          <a:off x="10279744" y="17225628"/>
          <a:ext cx="2583540" cy="2516033"/>
          <a:chOff x="414384" y="10664222"/>
          <a:chExt cx="2616365" cy="2538697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8973E782-F1B4-7584-9A96-7717F13DB034}"/>
              </a:ext>
            </a:extLst>
          </xdr:cNvPr>
          <xdr:cNvGrpSpPr/>
        </xdr:nvGrpSpPr>
        <xdr:grpSpPr>
          <a:xfrm>
            <a:off x="414384" y="10664222"/>
            <a:ext cx="2616365" cy="2538697"/>
            <a:chOff x="279697" y="1629743"/>
            <a:chExt cx="1648539" cy="820118"/>
          </a:xfrm>
        </xdr:grpSpPr>
        <xdr:pic>
          <xdr:nvPicPr>
            <xdr:cNvPr id="35" name="Picture 34">
              <a:extLst>
                <a:ext uri="{FF2B5EF4-FFF2-40B4-BE49-F238E27FC236}">
                  <a16:creationId xmlns:a16="http://schemas.microsoft.com/office/drawing/2014/main" id="{A9BE4C53-D767-F6A0-F015-B6EDB115B80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9697" y="1629743"/>
              <a:ext cx="1648539" cy="820118"/>
            </a:xfrm>
            <a:prstGeom prst="rect">
              <a:avLst/>
            </a:prstGeom>
          </xdr:spPr>
        </xdr:pic>
        <xdr:sp macro="" textlink="">
          <xdr:nvSpPr>
            <xdr:cNvPr id="36" name="Rectangle 35">
              <a:extLst>
                <a:ext uri="{FF2B5EF4-FFF2-40B4-BE49-F238E27FC236}">
                  <a16:creationId xmlns:a16="http://schemas.microsoft.com/office/drawing/2014/main" id="{56D2D090-E02A-54E2-40FA-4FBD917C0E2E}"/>
                </a:ext>
              </a:extLst>
            </xdr:cNvPr>
            <xdr:cNvSpPr/>
          </xdr:nvSpPr>
          <xdr:spPr>
            <a:xfrm>
              <a:off x="291292" y="1633012"/>
              <a:ext cx="1623386" cy="790019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E934FE70-3A20-8ED5-859D-F1C7D179A6EE}"/>
              </a:ext>
            </a:extLst>
          </xdr:cNvPr>
          <xdr:cNvSpPr/>
        </xdr:nvSpPr>
        <xdr:spPr>
          <a:xfrm>
            <a:off x="1215935" y="11139036"/>
            <a:ext cx="1019265" cy="115452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6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L</a:t>
            </a:r>
          </a:p>
        </xdr:txBody>
      </xdr:sp>
    </xdr:grpSp>
    <xdr:clientData/>
  </xdr:twoCellAnchor>
  <xdr:twoCellAnchor>
    <xdr:from>
      <xdr:col>32</xdr:col>
      <xdr:colOff>344714</xdr:colOff>
      <xdr:row>54</xdr:row>
      <xdr:rowOff>133725</xdr:rowOff>
    </xdr:from>
    <xdr:to>
      <xdr:col>39</xdr:col>
      <xdr:colOff>217714</xdr:colOff>
      <xdr:row>62</xdr:row>
      <xdr:rowOff>293914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5F5D7133-3211-9C4C-A3A2-20ADCC25F8DA}"/>
            </a:ext>
          </a:extLst>
        </xdr:cNvPr>
        <xdr:cNvGrpSpPr/>
      </xdr:nvGrpSpPr>
      <xdr:grpSpPr>
        <a:xfrm>
          <a:off x="12849329" y="21235263"/>
          <a:ext cx="2608385" cy="3286343"/>
          <a:chOff x="2558143" y="14769568"/>
          <a:chExt cx="2603500" cy="3264432"/>
        </a:xfrm>
      </xdr:grpSpPr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9BB2C3A8-C267-475F-FBD9-DD0E24EA5238}"/>
              </a:ext>
            </a:extLst>
          </xdr:cNvPr>
          <xdr:cNvGrpSpPr/>
        </xdr:nvGrpSpPr>
        <xdr:grpSpPr>
          <a:xfrm>
            <a:off x="2558143" y="14769568"/>
            <a:ext cx="2603500" cy="3264432"/>
            <a:chOff x="278210" y="2746443"/>
            <a:chExt cx="1666959" cy="820118"/>
          </a:xfrm>
        </xdr:grpSpPr>
        <xdr:pic>
          <xdr:nvPicPr>
            <xdr:cNvPr id="40" name="Picture 39">
              <a:extLst>
                <a:ext uri="{FF2B5EF4-FFF2-40B4-BE49-F238E27FC236}">
                  <a16:creationId xmlns:a16="http://schemas.microsoft.com/office/drawing/2014/main" id="{954E8009-CF80-7B7A-8620-37964B8DB5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6630" y="2746443"/>
              <a:ext cx="1648539" cy="820118"/>
            </a:xfrm>
            <a:prstGeom prst="rect">
              <a:avLst/>
            </a:prstGeom>
          </xdr:spPr>
        </xdr:pic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64A996B4-A4D9-FEA1-6A0E-72C68E787590}"/>
                </a:ext>
              </a:extLst>
            </xdr:cNvPr>
            <xdr:cNvSpPr/>
          </xdr:nvSpPr>
          <xdr:spPr>
            <a:xfrm>
              <a:off x="278210" y="2748400"/>
              <a:ext cx="1661150" cy="804487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98FEF474-2249-F479-EC52-DCF9BE0A2C24}"/>
              </a:ext>
            </a:extLst>
          </xdr:cNvPr>
          <xdr:cNvSpPr/>
        </xdr:nvSpPr>
        <xdr:spPr>
          <a:xfrm>
            <a:off x="3356429" y="15760893"/>
            <a:ext cx="771071" cy="854145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8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M</a:t>
            </a:r>
          </a:p>
        </xdr:txBody>
      </xdr:sp>
    </xdr:grpSp>
    <xdr:clientData/>
  </xdr:twoCellAnchor>
  <xdr:twoCellAnchor>
    <xdr:from>
      <xdr:col>25</xdr:col>
      <xdr:colOff>68943</xdr:colOff>
      <xdr:row>10</xdr:row>
      <xdr:rowOff>5444</xdr:rowOff>
    </xdr:from>
    <xdr:to>
      <xdr:col>30</xdr:col>
      <xdr:colOff>32657</xdr:colOff>
      <xdr:row>16</xdr:row>
      <xdr:rowOff>166913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D5E7A333-9491-FE48-8A9A-D42876771CE2}"/>
            </a:ext>
          </a:extLst>
        </xdr:cNvPr>
        <xdr:cNvGrpSpPr/>
      </xdr:nvGrpSpPr>
      <xdr:grpSpPr>
        <a:xfrm>
          <a:off x="9838174" y="3913136"/>
          <a:ext cx="1917560" cy="2506085"/>
          <a:chOff x="3655786" y="1115787"/>
          <a:chExt cx="1914071" cy="2485569"/>
        </a:xfrm>
      </xdr:grpSpPr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C9B79478-F33E-E433-DD15-CE13A762A769}"/>
              </a:ext>
            </a:extLst>
          </xdr:cNvPr>
          <xdr:cNvGrpSpPr/>
        </xdr:nvGrpSpPr>
        <xdr:grpSpPr>
          <a:xfrm>
            <a:off x="3655786" y="1115787"/>
            <a:ext cx="1914071" cy="2485569"/>
            <a:chOff x="6198908" y="1900224"/>
            <a:chExt cx="1311025" cy="1308641"/>
          </a:xfrm>
        </xdr:grpSpPr>
        <xdr:pic>
          <xdr:nvPicPr>
            <xdr:cNvPr id="45" name="Picture 44">
              <a:extLst>
                <a:ext uri="{FF2B5EF4-FFF2-40B4-BE49-F238E27FC236}">
                  <a16:creationId xmlns:a16="http://schemas.microsoft.com/office/drawing/2014/main" id="{B5EA8FEB-9F87-E27C-B9D7-BA936DCC951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FB6FF0FB-B026-2823-DAD4-63076EC61BA1}"/>
                </a:ext>
              </a:extLst>
            </xdr:cNvPr>
            <xdr:cNvSpPr/>
          </xdr:nvSpPr>
          <xdr:spPr>
            <a:xfrm>
              <a:off x="6198908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4C302A18-DFE4-6564-B3AD-AD586CBF914B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39</xdr:col>
      <xdr:colOff>264635</xdr:colOff>
      <xdr:row>34</xdr:row>
      <xdr:rowOff>366483</xdr:rowOff>
    </xdr:from>
    <xdr:to>
      <xdr:col>44</xdr:col>
      <xdr:colOff>335643</xdr:colOff>
      <xdr:row>40</xdr:row>
      <xdr:rowOff>348341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B985F1F-D274-D343-A7A5-EFF3E0526D0D}"/>
            </a:ext>
          </a:extLst>
        </xdr:cNvPr>
        <xdr:cNvGrpSpPr/>
      </xdr:nvGrpSpPr>
      <xdr:grpSpPr>
        <a:xfrm>
          <a:off x="15504635" y="13652637"/>
          <a:ext cx="2024854" cy="2326473"/>
          <a:chOff x="12690315" y="11131003"/>
          <a:chExt cx="2052208" cy="2359298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7902D1E1-CDDE-E96B-0DDC-C501E0DB326D}"/>
              </a:ext>
            </a:extLst>
          </xdr:cNvPr>
          <xdr:cNvGrpSpPr/>
        </xdr:nvGrpSpPr>
        <xdr:grpSpPr>
          <a:xfrm>
            <a:off x="12690315" y="11131003"/>
            <a:ext cx="2052208" cy="2359298"/>
            <a:chOff x="4697150" y="4663166"/>
            <a:chExt cx="1949975" cy="1266768"/>
          </a:xfrm>
        </xdr:grpSpPr>
        <xdr:pic>
          <xdr:nvPicPr>
            <xdr:cNvPr id="50" name="Picture 49">
              <a:extLst>
                <a:ext uri="{FF2B5EF4-FFF2-40B4-BE49-F238E27FC236}">
                  <a16:creationId xmlns:a16="http://schemas.microsoft.com/office/drawing/2014/main" id="{1DC98563-915C-0E5F-7ADE-8341CE6B54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697150" y="4664124"/>
              <a:ext cx="1932472" cy="1265810"/>
            </a:xfrm>
            <a:prstGeom prst="rect">
              <a:avLst/>
            </a:prstGeom>
          </xdr:spPr>
        </xdr:pic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F13A053D-C0F5-24C1-2DED-3D95A6F3CB3F}"/>
                </a:ext>
              </a:extLst>
            </xdr:cNvPr>
            <xdr:cNvSpPr/>
          </xdr:nvSpPr>
          <xdr:spPr>
            <a:xfrm>
              <a:off x="4704394" y="4663166"/>
              <a:ext cx="1942731" cy="1256872"/>
            </a:xfrm>
            <a:prstGeom prst="rect">
              <a:avLst/>
            </a:prstGeom>
            <a:solidFill>
              <a:schemeClr val="accent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C6DD5443-212F-ECA7-02B7-6781B11EF8D6}"/>
              </a:ext>
            </a:extLst>
          </xdr:cNvPr>
          <xdr:cNvSpPr/>
        </xdr:nvSpPr>
        <xdr:spPr>
          <a:xfrm>
            <a:off x="13302706" y="11895558"/>
            <a:ext cx="980077" cy="866482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8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F</a:t>
            </a:r>
          </a:p>
        </xdr:txBody>
      </xdr:sp>
    </xdr:grpSp>
    <xdr:clientData/>
  </xdr:twoCellAnchor>
  <xdr:twoCellAnchor>
    <xdr:from>
      <xdr:col>15</xdr:col>
      <xdr:colOff>42680</xdr:colOff>
      <xdr:row>10</xdr:row>
      <xdr:rowOff>268515</xdr:rowOff>
    </xdr:from>
    <xdr:to>
      <xdr:col>18</xdr:col>
      <xdr:colOff>295729</xdr:colOff>
      <xdr:row>16</xdr:row>
      <xdr:rowOff>16330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5A5A818C-6B16-D94C-8474-FED24673814D}"/>
            </a:ext>
          </a:extLst>
        </xdr:cNvPr>
        <xdr:cNvGrpSpPr/>
      </xdr:nvGrpSpPr>
      <xdr:grpSpPr>
        <a:xfrm>
          <a:off x="5904218" y="4176207"/>
          <a:ext cx="1425357" cy="2092431"/>
          <a:chOff x="7403600" y="19633475"/>
          <a:chExt cx="1431609" cy="2135415"/>
        </a:xfrm>
      </xdr:grpSpPr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E4965C9D-3F1C-EC45-ED87-5EC68CDBA77C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55" name="Picture 54">
              <a:extLst>
                <a:ext uri="{FF2B5EF4-FFF2-40B4-BE49-F238E27FC236}">
                  <a16:creationId xmlns:a16="http://schemas.microsoft.com/office/drawing/2014/main" id="{C5BD0367-0D6C-6192-4E9D-B2394A20853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8C43E2DC-DCAD-8A12-79CC-EDC259BBB988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ED7EBDDD-0ED1-C029-5CF2-0A9B473D1732}"/>
              </a:ext>
            </a:extLst>
          </xdr:cNvPr>
          <xdr:cNvSpPr/>
        </xdr:nvSpPr>
        <xdr:spPr>
          <a:xfrm>
            <a:off x="7800703" y="20388496"/>
            <a:ext cx="710837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20</xdr:col>
      <xdr:colOff>166916</xdr:colOff>
      <xdr:row>11</xdr:row>
      <xdr:rowOff>324757</xdr:rowOff>
    </xdr:from>
    <xdr:to>
      <xdr:col>23</xdr:col>
      <xdr:colOff>130629</xdr:colOff>
      <xdr:row>14</xdr:row>
      <xdr:rowOff>397329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99AA0685-843E-2142-BFCC-D975F15595E8}"/>
            </a:ext>
          </a:extLst>
        </xdr:cNvPr>
        <xdr:cNvGrpSpPr/>
      </xdr:nvGrpSpPr>
      <xdr:grpSpPr>
        <a:xfrm>
          <a:off x="7982301" y="4623219"/>
          <a:ext cx="1136020" cy="1244879"/>
          <a:chOff x="486956" y="1091837"/>
          <a:chExt cx="1152433" cy="1261292"/>
        </a:xfrm>
      </xdr:grpSpPr>
      <xdr:grpSp>
        <xdr:nvGrpSpPr>
          <xdr:cNvPr id="58" name="Group 57">
            <a:extLst>
              <a:ext uri="{FF2B5EF4-FFF2-40B4-BE49-F238E27FC236}">
                <a16:creationId xmlns:a16="http://schemas.microsoft.com/office/drawing/2014/main" id="{6A1D0293-D010-235D-7253-94A3610E442B}"/>
              </a:ext>
            </a:extLst>
          </xdr:cNvPr>
          <xdr:cNvGrpSpPr/>
        </xdr:nvGrpSpPr>
        <xdr:grpSpPr>
          <a:xfrm>
            <a:off x="486956" y="1091837"/>
            <a:ext cx="1152433" cy="1261292"/>
            <a:chOff x="3253006" y="1912346"/>
            <a:chExt cx="1335928" cy="1313453"/>
          </a:xfrm>
          <a:solidFill>
            <a:schemeClr val="accent2">
              <a:lumMod val="75000"/>
            </a:schemeClr>
          </a:solidFill>
        </xdr:grpSpPr>
        <xdr:pic>
          <xdr:nvPicPr>
            <xdr:cNvPr id="60" name="Picture 59">
              <a:extLst>
                <a:ext uri="{FF2B5EF4-FFF2-40B4-BE49-F238E27FC236}">
                  <a16:creationId xmlns:a16="http://schemas.microsoft.com/office/drawing/2014/main" id="{81DF5477-2F20-364E-4F95-63BF98D70B1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21C09689-272F-0714-6673-DFE68F60FB2D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111AC1E4-A039-7F79-7278-B76831C50B36}"/>
              </a:ext>
            </a:extLst>
          </xdr:cNvPr>
          <xdr:cNvSpPr/>
        </xdr:nvSpPr>
        <xdr:spPr>
          <a:xfrm>
            <a:off x="759098" y="1331836"/>
            <a:ext cx="574765" cy="67861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39</xdr:col>
      <xdr:colOff>208642</xdr:colOff>
      <xdr:row>27</xdr:row>
      <xdr:rowOff>166912</xdr:rowOff>
    </xdr:from>
    <xdr:to>
      <xdr:col>44</xdr:col>
      <xdr:colOff>361042</xdr:colOff>
      <xdr:row>32</xdr:row>
      <xdr:rowOff>339269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13AC9FE0-79C4-784D-ACC3-7BEF10DDE7FC}"/>
            </a:ext>
          </a:extLst>
        </xdr:cNvPr>
        <xdr:cNvGrpSpPr/>
      </xdr:nvGrpSpPr>
      <xdr:grpSpPr>
        <a:xfrm>
          <a:off x="15448642" y="10717681"/>
          <a:ext cx="2106246" cy="2126203"/>
          <a:chOff x="9052922" y="10123712"/>
          <a:chExt cx="2123440" cy="2153557"/>
        </a:xfrm>
      </xdr:grpSpPr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E10B1E4C-969B-E4C8-322A-7120553207BE}"/>
              </a:ext>
            </a:extLst>
          </xdr:cNvPr>
          <xdr:cNvGrpSpPr/>
        </xdr:nvGrpSpPr>
        <xdr:grpSpPr>
          <a:xfrm>
            <a:off x="9052922" y="10123712"/>
            <a:ext cx="2123440" cy="2153557"/>
            <a:chOff x="2166446" y="4637853"/>
            <a:chExt cx="1951819" cy="1297469"/>
          </a:xfrm>
        </xdr:grpSpPr>
        <xdr:pic>
          <xdr:nvPicPr>
            <xdr:cNvPr id="65" name="Picture 64">
              <a:extLst>
                <a:ext uri="{FF2B5EF4-FFF2-40B4-BE49-F238E27FC236}">
                  <a16:creationId xmlns:a16="http://schemas.microsoft.com/office/drawing/2014/main" id="{78FB5359-CAB7-EDE0-84D5-6B911149114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83009" y="4669512"/>
              <a:ext cx="1935256" cy="1265810"/>
            </a:xfrm>
            <a:prstGeom prst="rect">
              <a:avLst/>
            </a:prstGeom>
          </xdr:spPr>
        </xdr:pic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97EC9CEA-B278-8701-DF77-0A73E376150C}"/>
                </a:ext>
              </a:extLst>
            </xdr:cNvPr>
            <xdr:cNvSpPr/>
          </xdr:nvSpPr>
          <xdr:spPr>
            <a:xfrm>
              <a:off x="2166446" y="4637853"/>
              <a:ext cx="1943332" cy="1291924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03FEF606-750E-186E-CAB7-1044F32B28A3}"/>
              </a:ext>
            </a:extLst>
          </xdr:cNvPr>
          <xdr:cNvSpPr/>
        </xdr:nvSpPr>
        <xdr:spPr>
          <a:xfrm>
            <a:off x="9555117" y="10723338"/>
            <a:ext cx="901337" cy="96048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5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E</a:t>
            </a:r>
          </a:p>
        </xdr:txBody>
      </xdr:sp>
    </xdr:grpSp>
    <xdr:clientData/>
  </xdr:twoCellAnchor>
  <xdr:twoCellAnchor>
    <xdr:from>
      <xdr:col>32</xdr:col>
      <xdr:colOff>290286</xdr:colOff>
      <xdr:row>28</xdr:row>
      <xdr:rowOff>217715</xdr:rowOff>
    </xdr:from>
    <xdr:to>
      <xdr:col>36</xdr:col>
      <xdr:colOff>48986</xdr:colOff>
      <xdr:row>31</xdr:row>
      <xdr:rowOff>297543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2477E3EC-FDD1-5342-8D90-70976EDB3F72}"/>
            </a:ext>
          </a:extLst>
        </xdr:cNvPr>
        <xdr:cNvGrpSpPr/>
      </xdr:nvGrpSpPr>
      <xdr:grpSpPr>
        <a:xfrm>
          <a:off x="12794901" y="11159253"/>
          <a:ext cx="1321777" cy="1252136"/>
          <a:chOff x="9071066" y="14609355"/>
          <a:chExt cx="1330960" cy="1258388"/>
        </a:xfrm>
      </xdr:grpSpPr>
      <xdr:grpSp>
        <xdr:nvGrpSpPr>
          <xdr:cNvPr id="68" name="Group 67">
            <a:extLst>
              <a:ext uri="{FF2B5EF4-FFF2-40B4-BE49-F238E27FC236}">
                <a16:creationId xmlns:a16="http://schemas.microsoft.com/office/drawing/2014/main" id="{72C54C98-E768-F1A1-116D-F2924F34C205}"/>
              </a:ext>
            </a:extLst>
          </xdr:cNvPr>
          <xdr:cNvGrpSpPr/>
        </xdr:nvGrpSpPr>
        <xdr:grpSpPr>
          <a:xfrm>
            <a:off x="9071066" y="14609355"/>
            <a:ext cx="1330960" cy="1258388"/>
            <a:chOff x="4656034" y="4721593"/>
            <a:chExt cx="1973588" cy="1275182"/>
          </a:xfrm>
        </xdr:grpSpPr>
        <xdr:pic>
          <xdr:nvPicPr>
            <xdr:cNvPr id="70" name="Picture 69">
              <a:extLst>
                <a:ext uri="{FF2B5EF4-FFF2-40B4-BE49-F238E27FC236}">
                  <a16:creationId xmlns:a16="http://schemas.microsoft.com/office/drawing/2014/main" id="{87A9DA7B-2190-85CA-80CF-58BDAF437BB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697150" y="4730964"/>
              <a:ext cx="1932472" cy="1265810"/>
            </a:xfrm>
            <a:prstGeom prst="rect">
              <a:avLst/>
            </a:prstGeom>
          </xdr:spPr>
        </xdr:pic>
        <xdr:sp macro="" textlink="">
          <xdr:nvSpPr>
            <xdr:cNvPr id="71" name="Rectangle 70">
              <a:extLst>
                <a:ext uri="{FF2B5EF4-FFF2-40B4-BE49-F238E27FC236}">
                  <a16:creationId xmlns:a16="http://schemas.microsoft.com/office/drawing/2014/main" id="{F6CF5266-E3F1-664A-417A-FF8FA677238C}"/>
                </a:ext>
              </a:extLst>
            </xdr:cNvPr>
            <xdr:cNvSpPr/>
          </xdr:nvSpPr>
          <xdr:spPr>
            <a:xfrm>
              <a:off x="4656034" y="4721593"/>
              <a:ext cx="1973588" cy="1275182"/>
            </a:xfrm>
            <a:prstGeom prst="rect">
              <a:avLst/>
            </a:prstGeom>
            <a:solidFill>
              <a:schemeClr val="accent3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B2BD6907-0B98-6292-4485-B59F28665AA2}"/>
              </a:ext>
            </a:extLst>
          </xdr:cNvPr>
          <xdr:cNvSpPr/>
        </xdr:nvSpPr>
        <xdr:spPr>
          <a:xfrm>
            <a:off x="9499600" y="14829823"/>
            <a:ext cx="48768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G</a:t>
            </a:r>
          </a:p>
        </xdr:txBody>
      </xdr:sp>
    </xdr:grpSp>
    <xdr:clientData/>
  </xdr:twoCellAnchor>
  <xdr:twoCellAnchor>
    <xdr:from>
      <xdr:col>28</xdr:col>
      <xdr:colOff>50801</xdr:colOff>
      <xdr:row>56</xdr:row>
      <xdr:rowOff>398850</xdr:rowOff>
    </xdr:from>
    <xdr:to>
      <xdr:col>30</xdr:col>
      <xdr:colOff>355601</xdr:colOff>
      <xdr:row>60</xdr:row>
      <xdr:rowOff>5079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D4379E3F-F3A6-5B48-AA23-DBE767516722}"/>
            </a:ext>
          </a:extLst>
        </xdr:cNvPr>
        <xdr:cNvGrpSpPr/>
      </xdr:nvGrpSpPr>
      <xdr:grpSpPr>
        <a:xfrm>
          <a:off x="10992339" y="22281927"/>
          <a:ext cx="1086339" cy="1169306"/>
          <a:chOff x="1341121" y="18600490"/>
          <a:chExt cx="1087120" cy="1201349"/>
        </a:xfrm>
      </xdr:grpSpPr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CB3C3713-1952-35B5-A4DB-33E2279697E1}"/>
              </a:ext>
            </a:extLst>
          </xdr:cNvPr>
          <xdr:cNvGrpSpPr/>
        </xdr:nvGrpSpPr>
        <xdr:grpSpPr>
          <a:xfrm>
            <a:off x="1341121" y="18600490"/>
            <a:ext cx="1087120" cy="1201349"/>
            <a:chOff x="288607" y="2746443"/>
            <a:chExt cx="1672192" cy="820118"/>
          </a:xfrm>
        </xdr:grpSpPr>
        <xdr:pic>
          <xdr:nvPicPr>
            <xdr:cNvPr id="75" name="Picture 74">
              <a:extLst>
                <a:ext uri="{FF2B5EF4-FFF2-40B4-BE49-F238E27FC236}">
                  <a16:creationId xmlns:a16="http://schemas.microsoft.com/office/drawing/2014/main" id="{3C1D2E0B-5186-9A43-6C43-9F434F90420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6630" y="2746443"/>
              <a:ext cx="1648539" cy="820118"/>
            </a:xfrm>
            <a:prstGeom prst="rect">
              <a:avLst/>
            </a:prstGeom>
          </xdr:spPr>
        </xdr:pic>
        <xdr:sp macro="" textlink="">
          <xdr:nvSpPr>
            <xdr:cNvPr id="76" name="Rectangle 75">
              <a:extLst>
                <a:ext uri="{FF2B5EF4-FFF2-40B4-BE49-F238E27FC236}">
                  <a16:creationId xmlns:a16="http://schemas.microsoft.com/office/drawing/2014/main" id="{316FB015-4853-2955-1ECD-269931A718A0}"/>
                </a:ext>
              </a:extLst>
            </xdr:cNvPr>
            <xdr:cNvSpPr/>
          </xdr:nvSpPr>
          <xdr:spPr>
            <a:xfrm>
              <a:off x="288607" y="2748129"/>
              <a:ext cx="1672192" cy="797625"/>
            </a:xfrm>
            <a:prstGeom prst="rect">
              <a:avLst/>
            </a:prstGeom>
            <a:solidFill>
              <a:schemeClr val="accent6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651E9052-A5FA-7012-1452-DCEBD32C3D1D}"/>
              </a:ext>
            </a:extLst>
          </xdr:cNvPr>
          <xdr:cNvSpPr/>
        </xdr:nvSpPr>
        <xdr:spPr>
          <a:xfrm>
            <a:off x="1686560" y="18915796"/>
            <a:ext cx="375920" cy="603691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K</a:t>
            </a:r>
          </a:p>
        </xdr:txBody>
      </xdr:sp>
    </xdr:grpSp>
    <xdr:clientData/>
  </xdr:twoCellAnchor>
  <xdr:twoCellAnchor>
    <xdr:from>
      <xdr:col>9</xdr:col>
      <xdr:colOff>132081</xdr:colOff>
      <xdr:row>11</xdr:row>
      <xdr:rowOff>344479</xdr:rowOff>
    </xdr:from>
    <xdr:to>
      <xdr:col>12</xdr:col>
      <xdr:colOff>111761</xdr:colOff>
      <xdr:row>15</xdr:row>
      <xdr:rowOff>25400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422C3DD1-FB94-F940-AA6C-B375F7D4707B}"/>
            </a:ext>
          </a:extLst>
        </xdr:cNvPr>
        <xdr:cNvGrpSpPr/>
      </xdr:nvGrpSpPr>
      <xdr:grpSpPr>
        <a:xfrm>
          <a:off x="3649004" y="4642941"/>
          <a:ext cx="1151988" cy="1243997"/>
          <a:chOff x="3647441" y="19785639"/>
          <a:chExt cx="1168400" cy="1265881"/>
        </a:xfrm>
      </xdr:grpSpPr>
      <xdr:grpSp>
        <xdr:nvGrpSpPr>
          <xdr:cNvPr id="78" name="Group 77">
            <a:extLst>
              <a:ext uri="{FF2B5EF4-FFF2-40B4-BE49-F238E27FC236}">
                <a16:creationId xmlns:a16="http://schemas.microsoft.com/office/drawing/2014/main" id="{E848CB23-B1EB-BED4-AAD7-371CF746B431}"/>
              </a:ext>
            </a:extLst>
          </xdr:cNvPr>
          <xdr:cNvGrpSpPr/>
        </xdr:nvGrpSpPr>
        <xdr:grpSpPr>
          <a:xfrm>
            <a:off x="3647441" y="19785639"/>
            <a:ext cx="1168400" cy="1265881"/>
            <a:chOff x="3262466" y="1921933"/>
            <a:chExt cx="1326467" cy="1303866"/>
          </a:xfrm>
        </xdr:grpSpPr>
        <xdr:pic>
          <xdr:nvPicPr>
            <xdr:cNvPr id="80" name="Picture 79">
              <a:extLst>
                <a:ext uri="{FF2B5EF4-FFF2-40B4-BE49-F238E27FC236}">
                  <a16:creationId xmlns:a16="http://schemas.microsoft.com/office/drawing/2014/main" id="{366587D3-5765-E7EC-8A60-544E78EE10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81" name="Rectangle 80">
              <a:extLst>
                <a:ext uri="{FF2B5EF4-FFF2-40B4-BE49-F238E27FC236}">
                  <a16:creationId xmlns:a16="http://schemas.microsoft.com/office/drawing/2014/main" id="{16C2143A-626E-A679-9B15-5B27BF4D58B9}"/>
                </a:ext>
              </a:extLst>
            </xdr:cNvPr>
            <xdr:cNvSpPr/>
          </xdr:nvSpPr>
          <xdr:spPr>
            <a:xfrm>
              <a:off x="3262466" y="1928155"/>
              <a:ext cx="1326466" cy="1297643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52BB733F-97FA-54E3-2E59-4916010DA399}"/>
              </a:ext>
            </a:extLst>
          </xdr:cNvPr>
          <xdr:cNvSpPr/>
        </xdr:nvSpPr>
        <xdr:spPr>
          <a:xfrm>
            <a:off x="3921760" y="20041903"/>
            <a:ext cx="51816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  <xdr:twoCellAnchor>
    <xdr:from>
      <xdr:col>17</xdr:col>
      <xdr:colOff>101600</xdr:colOff>
      <xdr:row>7</xdr:row>
      <xdr:rowOff>330200</xdr:rowOff>
    </xdr:from>
    <xdr:to>
      <xdr:col>28</xdr:col>
      <xdr:colOff>76200</xdr:colOff>
      <xdr:row>13</xdr:row>
      <xdr:rowOff>304800</xdr:rowOff>
    </xdr:to>
    <xdr:sp macro="" textlink="">
      <xdr:nvSpPr>
        <xdr:cNvPr id="99" name="Freeform 98">
          <a:extLst>
            <a:ext uri="{FF2B5EF4-FFF2-40B4-BE49-F238E27FC236}">
              <a16:creationId xmlns:a16="http://schemas.microsoft.com/office/drawing/2014/main" id="{250009D5-CE31-C343-A4BA-98045FF24CB7}"/>
            </a:ext>
          </a:extLst>
        </xdr:cNvPr>
        <xdr:cNvSpPr/>
      </xdr:nvSpPr>
      <xdr:spPr>
        <a:xfrm>
          <a:off x="7010400" y="3175000"/>
          <a:ext cx="4445000" cy="2413000"/>
        </a:xfrm>
        <a:custGeom>
          <a:avLst/>
          <a:gdLst>
            <a:gd name="connsiteX0" fmla="*/ 0 w 1693333"/>
            <a:gd name="connsiteY0" fmla="*/ 308419 h 672486"/>
            <a:gd name="connsiteX1" fmla="*/ 855133 w 1693333"/>
            <a:gd name="connsiteY1" fmla="*/ 12086 h 672486"/>
            <a:gd name="connsiteX2" fmla="*/ 1693333 w 1693333"/>
            <a:gd name="connsiteY2" fmla="*/ 672486 h 67248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93333" h="672486">
              <a:moveTo>
                <a:pt x="0" y="308419"/>
              </a:moveTo>
              <a:cubicBezTo>
                <a:pt x="286455" y="129913"/>
                <a:pt x="572911" y="-48592"/>
                <a:pt x="855133" y="12086"/>
              </a:cubicBezTo>
              <a:cubicBezTo>
                <a:pt x="1137355" y="72764"/>
                <a:pt x="1415344" y="372625"/>
                <a:pt x="1693333" y="672486"/>
              </a:cubicBez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ot="0" spcFirstLastPara="1" vertOverflow="overflow" horzOverflow="overflow" vert="horz" wrap="square" lIns="91439" tIns="45719" rIns="91439" bIns="45719" numCol="1" spcCol="38100" rtlCol="0" anchor="t">
          <a:noAutofit/>
        </a:bodyPr>
        <a:lstStyle/>
        <a:p>
          <a: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endParaRPr>
        </a:p>
      </xdr:txBody>
    </xdr:sp>
    <xdr:clientData/>
  </xdr:twoCellAnchor>
  <xdr:twoCellAnchor>
    <xdr:from>
      <xdr:col>22</xdr:col>
      <xdr:colOff>283379</xdr:colOff>
      <xdr:row>14</xdr:row>
      <xdr:rowOff>347284</xdr:rowOff>
    </xdr:from>
    <xdr:to>
      <xdr:col>25</xdr:col>
      <xdr:colOff>7921</xdr:colOff>
      <xdr:row>22</xdr:row>
      <xdr:rowOff>281604</xdr:rowOff>
    </xdr:to>
    <xdr:sp macro="" textlink="">
      <xdr:nvSpPr>
        <xdr:cNvPr id="100" name="Freeform 99">
          <a:extLst>
            <a:ext uri="{FF2B5EF4-FFF2-40B4-BE49-F238E27FC236}">
              <a16:creationId xmlns:a16="http://schemas.microsoft.com/office/drawing/2014/main" id="{648D6C5E-807D-7249-85AC-A68C98402B89}"/>
            </a:ext>
          </a:extLst>
        </xdr:cNvPr>
        <xdr:cNvSpPr/>
      </xdr:nvSpPr>
      <xdr:spPr>
        <a:xfrm rot="13521711">
          <a:off x="8103290" y="7157773"/>
          <a:ext cx="3185520" cy="943742"/>
        </a:xfrm>
        <a:custGeom>
          <a:avLst/>
          <a:gdLst>
            <a:gd name="connsiteX0" fmla="*/ 0 w 1693333"/>
            <a:gd name="connsiteY0" fmla="*/ 308419 h 672486"/>
            <a:gd name="connsiteX1" fmla="*/ 855133 w 1693333"/>
            <a:gd name="connsiteY1" fmla="*/ 12086 h 672486"/>
            <a:gd name="connsiteX2" fmla="*/ 1693333 w 1693333"/>
            <a:gd name="connsiteY2" fmla="*/ 672486 h 67248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93333" h="672486">
              <a:moveTo>
                <a:pt x="0" y="308419"/>
              </a:moveTo>
              <a:cubicBezTo>
                <a:pt x="286455" y="129913"/>
                <a:pt x="572911" y="-48592"/>
                <a:pt x="855133" y="12086"/>
              </a:cubicBezTo>
              <a:cubicBezTo>
                <a:pt x="1137355" y="72764"/>
                <a:pt x="1415344" y="372625"/>
                <a:pt x="1693333" y="672486"/>
              </a:cubicBez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ot="0" spcFirstLastPara="1" vertOverflow="overflow" horzOverflow="overflow" vert="horz" wrap="square" lIns="91439" tIns="45719" rIns="91439" bIns="45719" numCol="1" spcCol="38100" rtlCol="0" anchor="t">
          <a:noAutofit/>
        </a:bodyPr>
        <a:lstStyle/>
        <a:p>
          <a: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endParaRPr>
        </a:p>
      </xdr:txBody>
    </xdr:sp>
    <xdr:clientData/>
  </xdr:twoCellAnchor>
  <xdr:twoCellAnchor>
    <xdr:from>
      <xdr:col>20</xdr:col>
      <xdr:colOff>150894</xdr:colOff>
      <xdr:row>8</xdr:row>
      <xdr:rowOff>207351</xdr:rowOff>
    </xdr:from>
    <xdr:to>
      <xdr:col>25</xdr:col>
      <xdr:colOff>178795</xdr:colOff>
      <xdr:row>13</xdr:row>
      <xdr:rowOff>196194</xdr:rowOff>
    </xdr:to>
    <xdr:sp macro="" textlink="">
      <xdr:nvSpPr>
        <xdr:cNvPr id="101" name="Freeform 100">
          <a:extLst>
            <a:ext uri="{FF2B5EF4-FFF2-40B4-BE49-F238E27FC236}">
              <a16:creationId xmlns:a16="http://schemas.microsoft.com/office/drawing/2014/main" id="{CE819AE9-6526-7C42-AAD3-4906F4471B6C}"/>
            </a:ext>
          </a:extLst>
        </xdr:cNvPr>
        <xdr:cNvSpPr/>
      </xdr:nvSpPr>
      <xdr:spPr>
        <a:xfrm rot="19668125">
          <a:off x="8278894" y="3458551"/>
          <a:ext cx="2059901" cy="2020843"/>
        </a:xfrm>
        <a:custGeom>
          <a:avLst/>
          <a:gdLst>
            <a:gd name="connsiteX0" fmla="*/ 0 w 1693333"/>
            <a:gd name="connsiteY0" fmla="*/ 308419 h 672486"/>
            <a:gd name="connsiteX1" fmla="*/ 855133 w 1693333"/>
            <a:gd name="connsiteY1" fmla="*/ 12086 h 672486"/>
            <a:gd name="connsiteX2" fmla="*/ 1693333 w 1693333"/>
            <a:gd name="connsiteY2" fmla="*/ 672486 h 67248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93333" h="672486">
              <a:moveTo>
                <a:pt x="0" y="308419"/>
              </a:moveTo>
              <a:cubicBezTo>
                <a:pt x="286455" y="129913"/>
                <a:pt x="572911" y="-48592"/>
                <a:pt x="855133" y="12086"/>
              </a:cubicBezTo>
              <a:cubicBezTo>
                <a:pt x="1137355" y="72764"/>
                <a:pt x="1415344" y="372625"/>
                <a:pt x="1693333" y="672486"/>
              </a:cubicBez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ot="0" spcFirstLastPara="1" vertOverflow="overflow" horzOverflow="overflow" vert="horz" wrap="square" lIns="91439" tIns="45719" rIns="91439" bIns="45719" numCol="1" spcCol="38100" rtlCol="0" anchor="t">
          <a:noAutofit/>
        </a:bodyPr>
        <a:lstStyle/>
        <a:p>
          <a: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endParaRPr>
        </a:p>
      </xdr:txBody>
    </xdr:sp>
    <xdr:clientData/>
  </xdr:twoCellAnchor>
  <xdr:twoCellAnchor>
    <xdr:from>
      <xdr:col>23</xdr:col>
      <xdr:colOff>53317</xdr:colOff>
      <xdr:row>18</xdr:row>
      <xdr:rowOff>165344</xdr:rowOff>
    </xdr:from>
    <xdr:to>
      <xdr:col>52</xdr:col>
      <xdr:colOff>234716</xdr:colOff>
      <xdr:row>31</xdr:row>
      <xdr:rowOff>43623</xdr:rowOff>
    </xdr:to>
    <xdr:sp macro="" textlink="">
      <xdr:nvSpPr>
        <xdr:cNvPr id="102" name="Freeform 101">
          <a:extLst>
            <a:ext uri="{FF2B5EF4-FFF2-40B4-BE49-F238E27FC236}">
              <a16:creationId xmlns:a16="http://schemas.microsoft.com/office/drawing/2014/main" id="{AE871E0A-5966-DE4C-9CAB-EE0B599C0AA2}"/>
            </a:ext>
          </a:extLst>
        </xdr:cNvPr>
        <xdr:cNvSpPr/>
      </xdr:nvSpPr>
      <xdr:spPr>
        <a:xfrm rot="18268750" flipV="1">
          <a:off x="12803277" y="4077784"/>
          <a:ext cx="5161479" cy="11966999"/>
        </a:xfrm>
        <a:custGeom>
          <a:avLst/>
          <a:gdLst>
            <a:gd name="connsiteX0" fmla="*/ 0 w 1693333"/>
            <a:gd name="connsiteY0" fmla="*/ 308419 h 672486"/>
            <a:gd name="connsiteX1" fmla="*/ 855133 w 1693333"/>
            <a:gd name="connsiteY1" fmla="*/ 12086 h 672486"/>
            <a:gd name="connsiteX2" fmla="*/ 1693333 w 1693333"/>
            <a:gd name="connsiteY2" fmla="*/ 672486 h 67248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93333" h="672486">
              <a:moveTo>
                <a:pt x="0" y="308419"/>
              </a:moveTo>
              <a:cubicBezTo>
                <a:pt x="286455" y="129913"/>
                <a:pt x="572911" y="-48592"/>
                <a:pt x="855133" y="12086"/>
              </a:cubicBezTo>
              <a:cubicBezTo>
                <a:pt x="1137355" y="72764"/>
                <a:pt x="1415344" y="372625"/>
                <a:pt x="1693333" y="672486"/>
              </a:cubicBez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ot="0" spcFirstLastPara="1" vertOverflow="overflow" horzOverflow="overflow" vert="horz" wrap="square" lIns="91439" tIns="45719" rIns="91439" bIns="45719" numCol="1" spcCol="38100" rtlCol="0" anchor="t">
          <a:noAutofit/>
        </a:bodyPr>
        <a:lstStyle/>
        <a:p>
          <a: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endParaRPr>
        </a:p>
      </xdr:txBody>
    </xdr:sp>
    <xdr:clientData/>
  </xdr:twoCellAnchor>
  <xdr:twoCellAnchor>
    <xdr:from>
      <xdr:col>28</xdr:col>
      <xdr:colOff>136075</xdr:colOff>
      <xdr:row>30</xdr:row>
      <xdr:rowOff>95143</xdr:rowOff>
    </xdr:from>
    <xdr:to>
      <xdr:col>41</xdr:col>
      <xdr:colOff>25401</xdr:colOff>
      <xdr:row>38</xdr:row>
      <xdr:rowOff>152398</xdr:rowOff>
    </xdr:to>
    <xdr:sp macro="" textlink="">
      <xdr:nvSpPr>
        <xdr:cNvPr id="103" name="Freeform 102">
          <a:extLst>
            <a:ext uri="{FF2B5EF4-FFF2-40B4-BE49-F238E27FC236}">
              <a16:creationId xmlns:a16="http://schemas.microsoft.com/office/drawing/2014/main" id="{66B6DCB4-633F-904D-AEBA-EB48E8C003CE}"/>
            </a:ext>
          </a:extLst>
        </xdr:cNvPr>
        <xdr:cNvSpPr/>
      </xdr:nvSpPr>
      <xdr:spPr>
        <a:xfrm rot="9353903">
          <a:off x="11515275" y="12287143"/>
          <a:ext cx="5172526" cy="3308455"/>
        </a:xfrm>
        <a:custGeom>
          <a:avLst/>
          <a:gdLst>
            <a:gd name="connsiteX0" fmla="*/ 0 w 1693333"/>
            <a:gd name="connsiteY0" fmla="*/ 308419 h 672486"/>
            <a:gd name="connsiteX1" fmla="*/ 855133 w 1693333"/>
            <a:gd name="connsiteY1" fmla="*/ 12086 h 672486"/>
            <a:gd name="connsiteX2" fmla="*/ 1693333 w 1693333"/>
            <a:gd name="connsiteY2" fmla="*/ 672486 h 67248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93333" h="672486">
              <a:moveTo>
                <a:pt x="0" y="308419"/>
              </a:moveTo>
              <a:cubicBezTo>
                <a:pt x="286455" y="129913"/>
                <a:pt x="572911" y="-48592"/>
                <a:pt x="855133" y="12086"/>
              </a:cubicBezTo>
              <a:cubicBezTo>
                <a:pt x="1137355" y="72764"/>
                <a:pt x="1415344" y="372625"/>
                <a:pt x="1693333" y="672486"/>
              </a:cubicBez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ot="0" spcFirstLastPara="1" vertOverflow="overflow" horzOverflow="overflow" vert="horz" wrap="square" lIns="91439" tIns="45719" rIns="91439" bIns="45719" numCol="1" spcCol="38100" rtlCol="0" anchor="t">
          <a:noAutofit/>
        </a:bodyPr>
        <a:lstStyle/>
        <a:p>
          <a: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endParaRPr>
        </a:p>
      </xdr:txBody>
    </xdr:sp>
    <xdr:clientData/>
  </xdr:twoCellAnchor>
  <xdr:twoCellAnchor>
    <xdr:from>
      <xdr:col>14</xdr:col>
      <xdr:colOff>248578</xdr:colOff>
      <xdr:row>21</xdr:row>
      <xdr:rowOff>187442</xdr:rowOff>
    </xdr:from>
    <xdr:to>
      <xdr:col>48</xdr:col>
      <xdr:colOff>232569</xdr:colOff>
      <xdr:row>41</xdr:row>
      <xdr:rowOff>336233</xdr:rowOff>
    </xdr:to>
    <xdr:sp macro="" textlink="">
      <xdr:nvSpPr>
        <xdr:cNvPr id="104" name="Freeform 103">
          <a:extLst>
            <a:ext uri="{FF2B5EF4-FFF2-40B4-BE49-F238E27FC236}">
              <a16:creationId xmlns:a16="http://schemas.microsoft.com/office/drawing/2014/main" id="{694E227E-C5D2-9140-B037-4AC9A38D84BF}"/>
            </a:ext>
          </a:extLst>
        </xdr:cNvPr>
        <xdr:cNvSpPr/>
      </xdr:nvSpPr>
      <xdr:spPr>
        <a:xfrm rot="12542003">
          <a:off x="5938178" y="8721842"/>
          <a:ext cx="13801591" cy="8276791"/>
        </a:xfrm>
        <a:custGeom>
          <a:avLst/>
          <a:gdLst>
            <a:gd name="connsiteX0" fmla="*/ 0 w 1693333"/>
            <a:gd name="connsiteY0" fmla="*/ 308419 h 672486"/>
            <a:gd name="connsiteX1" fmla="*/ 855133 w 1693333"/>
            <a:gd name="connsiteY1" fmla="*/ 12086 h 672486"/>
            <a:gd name="connsiteX2" fmla="*/ 1693333 w 1693333"/>
            <a:gd name="connsiteY2" fmla="*/ 672486 h 67248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93333" h="672486">
              <a:moveTo>
                <a:pt x="0" y="308419"/>
              </a:moveTo>
              <a:cubicBezTo>
                <a:pt x="286455" y="129913"/>
                <a:pt x="572911" y="-48592"/>
                <a:pt x="855133" y="12086"/>
              </a:cubicBezTo>
              <a:cubicBezTo>
                <a:pt x="1137355" y="72764"/>
                <a:pt x="1415344" y="372625"/>
                <a:pt x="1693333" y="672486"/>
              </a:cubicBez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ot="0" spcFirstLastPara="1" vertOverflow="overflow" horzOverflow="overflow" vert="horz" wrap="square" lIns="91439" tIns="45719" rIns="91439" bIns="45719" numCol="1" spcCol="38100" rtlCol="0" anchor="t">
          <a:noAutofit/>
        </a:bodyPr>
        <a:lstStyle/>
        <a:p>
          <a: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endParaRPr>
        </a:p>
      </xdr:txBody>
    </xdr:sp>
    <xdr:clientData/>
  </xdr:twoCellAnchor>
  <xdr:twoCellAnchor>
    <xdr:from>
      <xdr:col>26</xdr:col>
      <xdr:colOff>35688</xdr:colOff>
      <xdr:row>34</xdr:row>
      <xdr:rowOff>300647</xdr:rowOff>
    </xdr:from>
    <xdr:to>
      <xdr:col>40</xdr:col>
      <xdr:colOff>76322</xdr:colOff>
      <xdr:row>38</xdr:row>
      <xdr:rowOff>269244</xdr:rowOff>
    </xdr:to>
    <xdr:sp macro="" textlink="">
      <xdr:nvSpPr>
        <xdr:cNvPr id="105" name="Freeform 104">
          <a:extLst>
            <a:ext uri="{FF2B5EF4-FFF2-40B4-BE49-F238E27FC236}">
              <a16:creationId xmlns:a16="http://schemas.microsoft.com/office/drawing/2014/main" id="{C0B29CC4-C562-844A-AD23-5AB5EA6B5EE0}"/>
            </a:ext>
          </a:extLst>
        </xdr:cNvPr>
        <xdr:cNvSpPr/>
      </xdr:nvSpPr>
      <xdr:spPr>
        <a:xfrm rot="11491318">
          <a:off x="10602088" y="14118247"/>
          <a:ext cx="5730234" cy="1594197"/>
        </a:xfrm>
        <a:custGeom>
          <a:avLst/>
          <a:gdLst>
            <a:gd name="connsiteX0" fmla="*/ 0 w 1693333"/>
            <a:gd name="connsiteY0" fmla="*/ 308419 h 672486"/>
            <a:gd name="connsiteX1" fmla="*/ 855133 w 1693333"/>
            <a:gd name="connsiteY1" fmla="*/ 12086 h 672486"/>
            <a:gd name="connsiteX2" fmla="*/ 1693333 w 1693333"/>
            <a:gd name="connsiteY2" fmla="*/ 672486 h 67248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93333" h="672486">
              <a:moveTo>
                <a:pt x="0" y="308419"/>
              </a:moveTo>
              <a:cubicBezTo>
                <a:pt x="286455" y="129913"/>
                <a:pt x="572911" y="-48592"/>
                <a:pt x="855133" y="12086"/>
              </a:cubicBezTo>
              <a:cubicBezTo>
                <a:pt x="1137355" y="72764"/>
                <a:pt x="1415344" y="372625"/>
                <a:pt x="1693333" y="672486"/>
              </a:cubicBez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ot="0" spcFirstLastPara="1" vertOverflow="overflow" horzOverflow="overflow" vert="horz" wrap="square" lIns="91439" tIns="45719" rIns="91439" bIns="45719" numCol="1" spcCol="38100" rtlCol="0" anchor="t">
          <a:noAutofit/>
        </a:bodyPr>
        <a:lstStyle/>
        <a:p>
          <a: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endParaRPr>
        </a:p>
      </xdr:txBody>
    </xdr:sp>
    <xdr:clientData/>
  </xdr:twoCellAnchor>
  <xdr:twoCellAnchor>
    <xdr:from>
      <xdr:col>20</xdr:col>
      <xdr:colOff>232005</xdr:colOff>
      <xdr:row>25</xdr:row>
      <xdr:rowOff>54179</xdr:rowOff>
    </xdr:from>
    <xdr:to>
      <xdr:col>43</xdr:col>
      <xdr:colOff>319280</xdr:colOff>
      <xdr:row>40</xdr:row>
      <xdr:rowOff>318941</xdr:rowOff>
    </xdr:to>
    <xdr:sp macro="" textlink="">
      <xdr:nvSpPr>
        <xdr:cNvPr id="106" name="Freeform 105">
          <a:extLst>
            <a:ext uri="{FF2B5EF4-FFF2-40B4-BE49-F238E27FC236}">
              <a16:creationId xmlns:a16="http://schemas.microsoft.com/office/drawing/2014/main" id="{EA85005F-734D-414D-9C4C-683C48128AD6}"/>
            </a:ext>
          </a:extLst>
        </xdr:cNvPr>
        <xdr:cNvSpPr/>
      </xdr:nvSpPr>
      <xdr:spPr>
        <a:xfrm rot="12542003">
          <a:off x="8360005" y="10214179"/>
          <a:ext cx="9434475" cy="6360762"/>
        </a:xfrm>
        <a:custGeom>
          <a:avLst/>
          <a:gdLst>
            <a:gd name="connsiteX0" fmla="*/ 0 w 1693333"/>
            <a:gd name="connsiteY0" fmla="*/ 308419 h 672486"/>
            <a:gd name="connsiteX1" fmla="*/ 855133 w 1693333"/>
            <a:gd name="connsiteY1" fmla="*/ 12086 h 672486"/>
            <a:gd name="connsiteX2" fmla="*/ 1693333 w 1693333"/>
            <a:gd name="connsiteY2" fmla="*/ 672486 h 67248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93333" h="672486">
              <a:moveTo>
                <a:pt x="0" y="308419"/>
              </a:moveTo>
              <a:cubicBezTo>
                <a:pt x="286455" y="129913"/>
                <a:pt x="572911" y="-48592"/>
                <a:pt x="855133" y="12086"/>
              </a:cubicBezTo>
              <a:cubicBezTo>
                <a:pt x="1137355" y="72764"/>
                <a:pt x="1415344" y="372625"/>
                <a:pt x="1693333" y="672486"/>
              </a:cubicBez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ot="0" spcFirstLastPara="1" vertOverflow="overflow" horzOverflow="overflow" vert="horz" wrap="square" lIns="91439" tIns="45719" rIns="91439" bIns="45719" numCol="1" spcCol="38100" rtlCol="0" anchor="t">
          <a:noAutofit/>
        </a:bodyPr>
        <a:lstStyle/>
        <a:p>
          <a: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endParaRPr>
        </a:p>
      </xdr:txBody>
    </xdr:sp>
    <xdr:clientData/>
  </xdr:twoCellAnchor>
  <xdr:twoCellAnchor>
    <xdr:from>
      <xdr:col>32</xdr:col>
      <xdr:colOff>296892</xdr:colOff>
      <xdr:row>32</xdr:row>
      <xdr:rowOff>60893</xdr:rowOff>
    </xdr:from>
    <xdr:to>
      <xdr:col>39</xdr:col>
      <xdr:colOff>356392</xdr:colOff>
      <xdr:row>35</xdr:row>
      <xdr:rowOff>370992</xdr:rowOff>
    </xdr:to>
    <xdr:sp macro="" textlink="">
      <xdr:nvSpPr>
        <xdr:cNvPr id="107" name="Freeform 106">
          <a:extLst>
            <a:ext uri="{FF2B5EF4-FFF2-40B4-BE49-F238E27FC236}">
              <a16:creationId xmlns:a16="http://schemas.microsoft.com/office/drawing/2014/main" id="{19223794-5B3E-C941-908E-FBC5105ABED6}"/>
            </a:ext>
          </a:extLst>
        </xdr:cNvPr>
        <xdr:cNvSpPr/>
      </xdr:nvSpPr>
      <xdr:spPr>
        <a:xfrm rot="11895592">
          <a:off x="13301692" y="13065693"/>
          <a:ext cx="2904300" cy="1529299"/>
        </a:xfrm>
        <a:custGeom>
          <a:avLst/>
          <a:gdLst>
            <a:gd name="connsiteX0" fmla="*/ 0 w 1693333"/>
            <a:gd name="connsiteY0" fmla="*/ 308419 h 672486"/>
            <a:gd name="connsiteX1" fmla="*/ 855133 w 1693333"/>
            <a:gd name="connsiteY1" fmla="*/ 12086 h 672486"/>
            <a:gd name="connsiteX2" fmla="*/ 1693333 w 1693333"/>
            <a:gd name="connsiteY2" fmla="*/ 672486 h 67248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93333" h="672486">
              <a:moveTo>
                <a:pt x="0" y="308419"/>
              </a:moveTo>
              <a:cubicBezTo>
                <a:pt x="286455" y="129913"/>
                <a:pt x="572911" y="-48592"/>
                <a:pt x="855133" y="12086"/>
              </a:cubicBezTo>
              <a:cubicBezTo>
                <a:pt x="1137355" y="72764"/>
                <a:pt x="1415344" y="372625"/>
                <a:pt x="1693333" y="672486"/>
              </a:cubicBez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ot="0" spcFirstLastPara="1" vertOverflow="overflow" horzOverflow="overflow" vert="horz" wrap="square" lIns="91439" tIns="45719" rIns="91439" bIns="45719" numCol="1" spcCol="38100" rtlCol="0" anchor="t">
          <a:noAutofit/>
        </a:bodyPr>
        <a:lstStyle/>
        <a:p>
          <a: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endParaRPr>
        </a:p>
      </xdr:txBody>
    </xdr:sp>
    <xdr:clientData/>
  </xdr:twoCellAnchor>
  <xdr:twoCellAnchor>
    <xdr:from>
      <xdr:col>34</xdr:col>
      <xdr:colOff>219777</xdr:colOff>
      <xdr:row>30</xdr:row>
      <xdr:rowOff>166571</xdr:rowOff>
    </xdr:from>
    <xdr:to>
      <xdr:col>40</xdr:col>
      <xdr:colOff>73522</xdr:colOff>
      <xdr:row>34</xdr:row>
      <xdr:rowOff>182596</xdr:rowOff>
    </xdr:to>
    <xdr:sp macro="" textlink="">
      <xdr:nvSpPr>
        <xdr:cNvPr id="108" name="Freeform 107">
          <a:extLst>
            <a:ext uri="{FF2B5EF4-FFF2-40B4-BE49-F238E27FC236}">
              <a16:creationId xmlns:a16="http://schemas.microsoft.com/office/drawing/2014/main" id="{26FB0D4A-E92C-ED4C-98F8-FBBFD4A00BE0}"/>
            </a:ext>
          </a:extLst>
        </xdr:cNvPr>
        <xdr:cNvSpPr/>
      </xdr:nvSpPr>
      <xdr:spPr>
        <a:xfrm rot="10617330">
          <a:off x="14037377" y="12358571"/>
          <a:ext cx="2292145" cy="1641625"/>
        </a:xfrm>
        <a:custGeom>
          <a:avLst/>
          <a:gdLst>
            <a:gd name="connsiteX0" fmla="*/ 0 w 1693333"/>
            <a:gd name="connsiteY0" fmla="*/ 308419 h 672486"/>
            <a:gd name="connsiteX1" fmla="*/ 855133 w 1693333"/>
            <a:gd name="connsiteY1" fmla="*/ 12086 h 672486"/>
            <a:gd name="connsiteX2" fmla="*/ 1693333 w 1693333"/>
            <a:gd name="connsiteY2" fmla="*/ 672486 h 67248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93333" h="672486">
              <a:moveTo>
                <a:pt x="0" y="308419"/>
              </a:moveTo>
              <a:cubicBezTo>
                <a:pt x="286455" y="129913"/>
                <a:pt x="572911" y="-48592"/>
                <a:pt x="855133" y="12086"/>
              </a:cubicBezTo>
              <a:cubicBezTo>
                <a:pt x="1137355" y="72764"/>
                <a:pt x="1415344" y="372625"/>
                <a:pt x="1693333" y="672486"/>
              </a:cubicBez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ot="0" spcFirstLastPara="1" vertOverflow="overflow" horzOverflow="overflow" vert="horz" wrap="square" lIns="91439" tIns="45719" rIns="91439" bIns="45719" numCol="1" spcCol="38100" rtlCol="0" anchor="t">
          <a:noAutofit/>
        </a:bodyPr>
        <a:lstStyle/>
        <a:p>
          <a: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endParaRPr>
        </a:p>
      </xdr:txBody>
    </xdr:sp>
    <xdr:clientData/>
  </xdr:twoCellAnchor>
  <xdr:twoCellAnchor>
    <xdr:from>
      <xdr:col>25</xdr:col>
      <xdr:colOff>219919</xdr:colOff>
      <xdr:row>26</xdr:row>
      <xdr:rowOff>240228</xdr:rowOff>
    </xdr:from>
    <xdr:to>
      <xdr:col>51</xdr:col>
      <xdr:colOff>82870</xdr:colOff>
      <xdr:row>31</xdr:row>
      <xdr:rowOff>80844</xdr:rowOff>
    </xdr:to>
    <xdr:sp macro="" textlink="">
      <xdr:nvSpPr>
        <xdr:cNvPr id="109" name="Freeform 108">
          <a:extLst>
            <a:ext uri="{FF2B5EF4-FFF2-40B4-BE49-F238E27FC236}">
              <a16:creationId xmlns:a16="http://schemas.microsoft.com/office/drawing/2014/main" id="{5BC6AA8C-1FC8-534A-8656-97B051D1F684}"/>
            </a:ext>
          </a:extLst>
        </xdr:cNvPr>
        <xdr:cNvSpPr/>
      </xdr:nvSpPr>
      <xdr:spPr>
        <a:xfrm rot="18526715" flipV="1">
          <a:off x="14658287" y="6528260"/>
          <a:ext cx="1872616" cy="10429351"/>
        </a:xfrm>
        <a:custGeom>
          <a:avLst/>
          <a:gdLst>
            <a:gd name="connsiteX0" fmla="*/ 0 w 1693333"/>
            <a:gd name="connsiteY0" fmla="*/ 308419 h 672486"/>
            <a:gd name="connsiteX1" fmla="*/ 855133 w 1693333"/>
            <a:gd name="connsiteY1" fmla="*/ 12086 h 672486"/>
            <a:gd name="connsiteX2" fmla="*/ 1693333 w 1693333"/>
            <a:gd name="connsiteY2" fmla="*/ 672486 h 67248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93333" h="672486">
              <a:moveTo>
                <a:pt x="0" y="308419"/>
              </a:moveTo>
              <a:cubicBezTo>
                <a:pt x="286455" y="129913"/>
                <a:pt x="572911" y="-48592"/>
                <a:pt x="855133" y="12086"/>
              </a:cubicBezTo>
              <a:cubicBezTo>
                <a:pt x="1137355" y="72764"/>
                <a:pt x="1415344" y="372625"/>
                <a:pt x="1693333" y="672486"/>
              </a:cubicBez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ot="0" spcFirstLastPara="1" vertOverflow="overflow" horzOverflow="overflow" vert="horz" wrap="square" lIns="91439" tIns="45719" rIns="91439" bIns="45719" numCol="1" spcCol="38100" rtlCol="0" anchor="t">
          <a:noAutofit/>
        </a:bodyPr>
        <a:lstStyle/>
        <a:p>
          <a: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endParaRPr>
        </a:p>
      </xdr:txBody>
    </xdr:sp>
    <xdr:clientData/>
  </xdr:twoCellAnchor>
  <xdr:twoCellAnchor>
    <xdr:from>
      <xdr:col>31</xdr:col>
      <xdr:colOff>331135</xdr:colOff>
      <xdr:row>20</xdr:row>
      <xdr:rowOff>97184</xdr:rowOff>
    </xdr:from>
    <xdr:to>
      <xdr:col>34</xdr:col>
      <xdr:colOff>122809</xdr:colOff>
      <xdr:row>29</xdr:row>
      <xdr:rowOff>7793</xdr:rowOff>
    </xdr:to>
    <xdr:sp macro="" textlink="">
      <xdr:nvSpPr>
        <xdr:cNvPr id="110" name="Freeform 109">
          <a:extLst>
            <a:ext uri="{FF2B5EF4-FFF2-40B4-BE49-F238E27FC236}">
              <a16:creationId xmlns:a16="http://schemas.microsoft.com/office/drawing/2014/main" id="{20CE715F-2A84-7749-96BA-8EC4EA84E054}"/>
            </a:ext>
          </a:extLst>
        </xdr:cNvPr>
        <xdr:cNvSpPr/>
      </xdr:nvSpPr>
      <xdr:spPr>
        <a:xfrm rot="7439774">
          <a:off x="11650867" y="9503852"/>
          <a:ext cx="3568209" cy="1010874"/>
        </a:xfrm>
        <a:custGeom>
          <a:avLst/>
          <a:gdLst>
            <a:gd name="connsiteX0" fmla="*/ 0 w 1693333"/>
            <a:gd name="connsiteY0" fmla="*/ 308419 h 672486"/>
            <a:gd name="connsiteX1" fmla="*/ 855133 w 1693333"/>
            <a:gd name="connsiteY1" fmla="*/ 12086 h 672486"/>
            <a:gd name="connsiteX2" fmla="*/ 1693333 w 1693333"/>
            <a:gd name="connsiteY2" fmla="*/ 672486 h 67248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93333" h="672486">
              <a:moveTo>
                <a:pt x="0" y="308419"/>
              </a:moveTo>
              <a:cubicBezTo>
                <a:pt x="286455" y="129913"/>
                <a:pt x="572911" y="-48592"/>
                <a:pt x="855133" y="12086"/>
              </a:cubicBezTo>
              <a:cubicBezTo>
                <a:pt x="1137355" y="72764"/>
                <a:pt x="1415344" y="372625"/>
                <a:pt x="1693333" y="672486"/>
              </a:cubicBez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ot="0" spcFirstLastPara="1" vertOverflow="overflow" horzOverflow="overflow" vert="horz" wrap="square" lIns="91439" tIns="45719" rIns="91439" bIns="45719" numCol="1" spcCol="38100" rtlCol="0" anchor="t">
          <a:noAutofit/>
        </a:bodyPr>
        <a:lstStyle/>
        <a:p>
          <a: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44296</xdr:colOff>
      <xdr:row>14</xdr:row>
      <xdr:rowOff>11982</xdr:rowOff>
    </xdr:from>
    <xdr:to>
      <xdr:col>29</xdr:col>
      <xdr:colOff>110814</xdr:colOff>
      <xdr:row>27</xdr:row>
      <xdr:rowOff>375441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D68A573-7657-A943-8175-97DBAAFF913A}"/>
            </a:ext>
          </a:extLst>
        </xdr:cNvPr>
        <xdr:cNvGrpSpPr/>
      </xdr:nvGrpSpPr>
      <xdr:grpSpPr>
        <a:xfrm>
          <a:off x="5974956" y="5547265"/>
          <a:ext cx="5673688" cy="5503365"/>
          <a:chOff x="7526753" y="3922351"/>
          <a:chExt cx="5673688" cy="550336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B4BBCAA9-60D7-7CEA-7A18-35EA82B55F2E}"/>
              </a:ext>
            </a:extLst>
          </xdr:cNvPr>
          <xdr:cNvGrpSpPr/>
        </xdr:nvGrpSpPr>
        <xdr:grpSpPr>
          <a:xfrm>
            <a:off x="9483451" y="5178955"/>
            <a:ext cx="968779" cy="1331869"/>
            <a:chOff x="471714" y="5025569"/>
            <a:chExt cx="2313215" cy="2440216"/>
          </a:xfrm>
        </xdr:grpSpPr>
        <xdr:grpSp>
          <xdr:nvGrpSpPr>
            <xdr:cNvPr id="65" name="Group 64">
              <a:extLst>
                <a:ext uri="{FF2B5EF4-FFF2-40B4-BE49-F238E27FC236}">
                  <a16:creationId xmlns:a16="http://schemas.microsoft.com/office/drawing/2014/main" id="{DD67ED55-43DF-A2A0-0C95-7E1AE442C693}"/>
                </a:ext>
              </a:extLst>
            </xdr:cNvPr>
            <xdr:cNvGrpSpPr/>
          </xdr:nvGrpSpPr>
          <xdr:grpSpPr>
            <a:xfrm>
              <a:off x="471714" y="5025569"/>
              <a:ext cx="2313215" cy="2440216"/>
              <a:chOff x="1803360" y="3495864"/>
              <a:chExt cx="3091221" cy="954136"/>
            </a:xfrm>
          </xdr:grpSpPr>
          <xdr:pic>
            <xdr:nvPicPr>
              <xdr:cNvPr id="67" name="Picture 66">
                <a:extLst>
                  <a:ext uri="{FF2B5EF4-FFF2-40B4-BE49-F238E27FC236}">
                    <a16:creationId xmlns:a16="http://schemas.microsoft.com/office/drawing/2014/main" id="{EBD2A9B7-9EAA-BB50-FAA5-64874975155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813870" y="3496103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68" name="Rectangle 67">
                <a:extLst>
                  <a:ext uri="{FF2B5EF4-FFF2-40B4-BE49-F238E27FC236}">
                    <a16:creationId xmlns:a16="http://schemas.microsoft.com/office/drawing/2014/main" id="{C529ADA6-B90C-DB3A-90BB-415FD556A268}"/>
                  </a:ext>
                </a:extLst>
              </xdr:cNvPr>
              <xdr:cNvSpPr/>
            </xdr:nvSpPr>
            <xdr:spPr>
              <a:xfrm>
                <a:off x="1803360" y="3495864"/>
                <a:ext cx="3091221" cy="932854"/>
              </a:xfrm>
              <a:prstGeom prst="rect">
                <a:avLst/>
              </a:prstGeom>
              <a:solidFill>
                <a:srgbClr val="000000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4DEF9230-B018-6D0F-4F03-E7EF9C9EDD09}"/>
                </a:ext>
              </a:extLst>
            </xdr:cNvPr>
            <xdr:cNvSpPr txBox="1"/>
          </xdr:nvSpPr>
          <xdr:spPr>
            <a:xfrm>
              <a:off x="1097642" y="5669643"/>
              <a:ext cx="807357" cy="1112356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clip" horzOverflow="clip" vert="horz" wrap="square" lIns="50800" tIns="50800" rIns="50800" bIns="50800" numCol="1" spcCol="38100" rtlCol="0" anchor="t">
              <a:spAutoFit/>
            </a:bodyPr>
            <a:lstStyle/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I</a:t>
              </a:r>
            </a:p>
          </xdr:txBody>
        </xdr:sp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5789C48A-A6CB-8DF3-6D9E-B6B56513F5F1}"/>
              </a:ext>
            </a:extLst>
          </xdr:cNvPr>
          <xdr:cNvGrpSpPr/>
        </xdr:nvGrpSpPr>
        <xdr:grpSpPr>
          <a:xfrm>
            <a:off x="10419235" y="4495269"/>
            <a:ext cx="2047070" cy="1604019"/>
            <a:chOff x="7415704" y="5252355"/>
            <a:chExt cx="3184873" cy="3056534"/>
          </a:xfrm>
        </xdr:grpSpPr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DEBA316F-E4F2-D536-0846-7CFEF820FE24}"/>
                </a:ext>
              </a:extLst>
            </xdr:cNvPr>
            <xdr:cNvGrpSpPr/>
          </xdr:nvGrpSpPr>
          <xdr:grpSpPr>
            <a:xfrm>
              <a:off x="7415704" y="5252355"/>
              <a:ext cx="3184873" cy="3056534"/>
              <a:chOff x="5969000" y="3563312"/>
              <a:chExt cx="3056466" cy="955052"/>
            </a:xfrm>
          </xdr:grpSpPr>
          <xdr:pic>
            <xdr:nvPicPr>
              <xdr:cNvPr id="63" name="Picture 62">
                <a:extLst>
                  <a:ext uri="{FF2B5EF4-FFF2-40B4-BE49-F238E27FC236}">
                    <a16:creationId xmlns:a16="http://schemas.microsoft.com/office/drawing/2014/main" id="{881735FC-B9D3-B267-12CC-2C77DF3E605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5969000" y="3564467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64" name="Rectangle 63">
                <a:extLst>
                  <a:ext uri="{FF2B5EF4-FFF2-40B4-BE49-F238E27FC236}">
                    <a16:creationId xmlns:a16="http://schemas.microsoft.com/office/drawing/2014/main" id="{78FF4821-DFBB-2FBD-B9CD-C83B25D74E0E}"/>
                  </a:ext>
                </a:extLst>
              </xdr:cNvPr>
              <xdr:cNvSpPr/>
            </xdr:nvSpPr>
            <xdr:spPr>
              <a:xfrm>
                <a:off x="5982239" y="3563312"/>
                <a:ext cx="3038286" cy="926876"/>
              </a:xfrm>
              <a:prstGeom prst="rect">
                <a:avLst/>
              </a:prstGeom>
              <a:solidFill>
                <a:schemeClr val="accent1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27488079-6FC1-D993-A928-35CE411784EA}"/>
                </a:ext>
              </a:extLst>
            </xdr:cNvPr>
            <xdr:cNvSpPr/>
          </xdr:nvSpPr>
          <xdr:spPr>
            <a:xfrm>
              <a:off x="8236857" y="5866530"/>
              <a:ext cx="1433286" cy="123001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7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J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9886061-7568-439C-D4E1-D7468109DD0E}"/>
              </a:ext>
            </a:extLst>
          </xdr:cNvPr>
          <xdr:cNvGrpSpPr/>
        </xdr:nvGrpSpPr>
        <xdr:grpSpPr>
          <a:xfrm rot="5400000">
            <a:off x="9626308" y="6023055"/>
            <a:ext cx="1020663" cy="1963306"/>
            <a:chOff x="4236358" y="10468429"/>
            <a:chExt cx="2450052" cy="2540000"/>
          </a:xfrm>
        </xdr:grpSpPr>
        <xdr:grpSp>
          <xdr:nvGrpSpPr>
            <xdr:cNvPr id="57" name="Group 56">
              <a:extLst>
                <a:ext uri="{FF2B5EF4-FFF2-40B4-BE49-F238E27FC236}">
                  <a16:creationId xmlns:a16="http://schemas.microsoft.com/office/drawing/2014/main" id="{10BDD363-CF5F-478C-CD20-2E8A153D0F6E}"/>
                </a:ext>
              </a:extLst>
            </xdr:cNvPr>
            <xdr:cNvGrpSpPr/>
          </xdr:nvGrpSpPr>
          <xdr:grpSpPr>
            <a:xfrm>
              <a:off x="4236358" y="10468429"/>
              <a:ext cx="2450052" cy="2540000"/>
              <a:chOff x="5969000" y="3564467"/>
              <a:chExt cx="3056466" cy="953897"/>
            </a:xfrm>
          </xdr:grpSpPr>
          <xdr:pic>
            <xdr:nvPicPr>
              <xdr:cNvPr id="59" name="Picture 58">
                <a:extLst>
                  <a:ext uri="{FF2B5EF4-FFF2-40B4-BE49-F238E27FC236}">
                    <a16:creationId xmlns:a16="http://schemas.microsoft.com/office/drawing/2014/main" id="{03CD13B5-49A5-EE24-AA2A-11D07A86DD5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5969000" y="3564467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60" name="Rectangle 59">
                <a:extLst>
                  <a:ext uri="{FF2B5EF4-FFF2-40B4-BE49-F238E27FC236}">
                    <a16:creationId xmlns:a16="http://schemas.microsoft.com/office/drawing/2014/main" id="{0EA4A216-7D33-6056-51E7-49313CFFD841}"/>
                  </a:ext>
                </a:extLst>
              </xdr:cNvPr>
              <xdr:cNvSpPr/>
            </xdr:nvSpPr>
            <xdr:spPr>
              <a:xfrm>
                <a:off x="5980316" y="3564467"/>
                <a:ext cx="3044193" cy="926643"/>
              </a:xfrm>
              <a:prstGeom prst="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389AADE9-D29B-C5CE-A46E-43C547F8C32C}"/>
                </a:ext>
              </a:extLst>
            </xdr:cNvPr>
            <xdr:cNvSpPr/>
          </xdr:nvSpPr>
          <xdr:spPr>
            <a:xfrm>
              <a:off x="4953000" y="11146429"/>
              <a:ext cx="952500" cy="948145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5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H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E52964F6-7F5C-41D0-E064-969D7D290C66}"/>
              </a:ext>
            </a:extLst>
          </xdr:cNvPr>
          <xdr:cNvGrpSpPr/>
        </xdr:nvGrpSpPr>
        <xdr:grpSpPr>
          <a:xfrm>
            <a:off x="9488713" y="7523614"/>
            <a:ext cx="1628861" cy="900057"/>
            <a:chOff x="414384" y="10664222"/>
            <a:chExt cx="2616365" cy="2538697"/>
          </a:xfrm>
        </xdr:grpSpPr>
        <xdr:grpSp>
          <xdr:nvGrpSpPr>
            <xdr:cNvPr id="53" name="Group 52">
              <a:extLst>
                <a:ext uri="{FF2B5EF4-FFF2-40B4-BE49-F238E27FC236}">
                  <a16:creationId xmlns:a16="http://schemas.microsoft.com/office/drawing/2014/main" id="{F466EFCA-631B-50DC-AA4C-F207F4188DB0}"/>
                </a:ext>
              </a:extLst>
            </xdr:cNvPr>
            <xdr:cNvGrpSpPr/>
          </xdr:nvGrpSpPr>
          <xdr:grpSpPr>
            <a:xfrm>
              <a:off x="414384" y="10664222"/>
              <a:ext cx="2616365" cy="2538697"/>
              <a:chOff x="279697" y="1629743"/>
              <a:chExt cx="1648539" cy="820118"/>
            </a:xfrm>
          </xdr:grpSpPr>
          <xdr:pic>
            <xdr:nvPicPr>
              <xdr:cNvPr id="55" name="Picture 54">
                <a:extLst>
                  <a:ext uri="{FF2B5EF4-FFF2-40B4-BE49-F238E27FC236}">
                    <a16:creationId xmlns:a16="http://schemas.microsoft.com/office/drawing/2014/main" id="{D59CA1CD-EF98-C958-2F57-3202C018309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79697" y="16297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56" name="Rectangle 55">
                <a:extLst>
                  <a:ext uri="{FF2B5EF4-FFF2-40B4-BE49-F238E27FC236}">
                    <a16:creationId xmlns:a16="http://schemas.microsoft.com/office/drawing/2014/main" id="{50EE3EEB-CA43-E313-2EF0-B7AE3C37781F}"/>
                  </a:ext>
                </a:extLst>
              </xdr:cNvPr>
              <xdr:cNvSpPr/>
            </xdr:nvSpPr>
            <xdr:spPr>
              <a:xfrm>
                <a:off x="291292" y="1633012"/>
                <a:ext cx="1623386" cy="790019"/>
              </a:xfrm>
              <a:prstGeom prst="rect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F048CDAE-5CBC-1E30-A832-DE4B396FAC59}"/>
                </a:ext>
              </a:extLst>
            </xdr:cNvPr>
            <xdr:cNvSpPr/>
          </xdr:nvSpPr>
          <xdr:spPr>
            <a:xfrm>
              <a:off x="1215935" y="11139036"/>
              <a:ext cx="1019265" cy="1154523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L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66441A39-791B-E200-9ED7-DDBCD1E41D36}"/>
              </a:ext>
            </a:extLst>
          </xdr:cNvPr>
          <xdr:cNvGrpSpPr/>
        </xdr:nvGrpSpPr>
        <xdr:grpSpPr>
          <a:xfrm>
            <a:off x="11135984" y="8122644"/>
            <a:ext cx="2064457" cy="1303072"/>
            <a:chOff x="2558143" y="14769568"/>
            <a:chExt cx="2603500" cy="3264432"/>
          </a:xfrm>
        </xdr:grpSpPr>
        <xdr:grpSp>
          <xdr:nvGrpSpPr>
            <xdr:cNvPr id="49" name="Group 48">
              <a:extLst>
                <a:ext uri="{FF2B5EF4-FFF2-40B4-BE49-F238E27FC236}">
                  <a16:creationId xmlns:a16="http://schemas.microsoft.com/office/drawing/2014/main" id="{CDD10E9A-71B7-3D2E-8FEC-69E8E3DFF4D7}"/>
                </a:ext>
              </a:extLst>
            </xdr:cNvPr>
            <xdr:cNvGrpSpPr/>
          </xdr:nvGrpSpPr>
          <xdr:grpSpPr>
            <a:xfrm>
              <a:off x="2558143" y="14769568"/>
              <a:ext cx="2603500" cy="3264432"/>
              <a:chOff x="278210" y="2746443"/>
              <a:chExt cx="1666959" cy="820118"/>
            </a:xfrm>
          </xdr:grpSpPr>
          <xdr:pic>
            <xdr:nvPicPr>
              <xdr:cNvPr id="51" name="Picture 50">
                <a:extLst>
                  <a:ext uri="{FF2B5EF4-FFF2-40B4-BE49-F238E27FC236}">
                    <a16:creationId xmlns:a16="http://schemas.microsoft.com/office/drawing/2014/main" id="{A435C7AA-EFE5-0938-3383-8472956BA3C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96630" y="27464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52" name="Rectangle 51">
                <a:extLst>
                  <a:ext uri="{FF2B5EF4-FFF2-40B4-BE49-F238E27FC236}">
                    <a16:creationId xmlns:a16="http://schemas.microsoft.com/office/drawing/2014/main" id="{1FE5F8D9-856C-1848-EF97-250741B3E90E}"/>
                  </a:ext>
                </a:extLst>
              </xdr:cNvPr>
              <xdr:cNvSpPr/>
            </xdr:nvSpPr>
            <xdr:spPr>
              <a:xfrm>
                <a:off x="278210" y="2748400"/>
                <a:ext cx="1661150" cy="804487"/>
              </a:xfrm>
              <a:prstGeom prst="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F17E466D-1BE1-5016-6CFC-93DE0595C443}"/>
                </a:ext>
              </a:extLst>
            </xdr:cNvPr>
            <xdr:cNvSpPr/>
          </xdr:nvSpPr>
          <xdr:spPr>
            <a:xfrm>
              <a:off x="3356429" y="15760893"/>
              <a:ext cx="771071" cy="854145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M</a:t>
              </a: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C268D602-AA5A-0B1C-FCE5-586F1449FF42}"/>
              </a:ext>
            </a:extLst>
          </xdr:cNvPr>
          <xdr:cNvGrpSpPr/>
        </xdr:nvGrpSpPr>
        <xdr:grpSpPr>
          <a:xfrm>
            <a:off x="9401935" y="3928477"/>
            <a:ext cx="1068405" cy="1250186"/>
            <a:chOff x="3613420" y="1115787"/>
            <a:chExt cx="1956428" cy="2485569"/>
          </a:xfrm>
        </xdr:grpSpPr>
        <xdr:grpSp>
          <xdr:nvGrpSpPr>
            <xdr:cNvPr id="45" name="Group 44">
              <a:extLst>
                <a:ext uri="{FF2B5EF4-FFF2-40B4-BE49-F238E27FC236}">
                  <a16:creationId xmlns:a16="http://schemas.microsoft.com/office/drawing/2014/main" id="{51EE5BCB-5807-428E-FF18-352E7B3C19C8}"/>
                </a:ext>
              </a:extLst>
            </xdr:cNvPr>
            <xdr:cNvGrpSpPr/>
          </xdr:nvGrpSpPr>
          <xdr:grpSpPr>
            <a:xfrm>
              <a:off x="3613420" y="1115787"/>
              <a:ext cx="1956428" cy="2485569"/>
              <a:chOff x="6169895" y="1900224"/>
              <a:chExt cx="1340038" cy="1308641"/>
            </a:xfrm>
          </xdr:grpSpPr>
          <xdr:pic>
            <xdr:nvPicPr>
              <xdr:cNvPr id="47" name="Picture 46">
                <a:extLst>
                  <a:ext uri="{FF2B5EF4-FFF2-40B4-BE49-F238E27FC236}">
                    <a16:creationId xmlns:a16="http://schemas.microsoft.com/office/drawing/2014/main" id="{CF6AA2E9-FC6F-7BDC-068A-0F211CDDCA3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06067" y="1904999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48" name="Rectangle 47">
                <a:extLst>
                  <a:ext uri="{FF2B5EF4-FFF2-40B4-BE49-F238E27FC236}">
                    <a16:creationId xmlns:a16="http://schemas.microsoft.com/office/drawing/2014/main" id="{7905E3B6-A161-CCAE-5964-4B3043ED4FB8}"/>
                  </a:ext>
                </a:extLst>
              </xdr:cNvPr>
              <xdr:cNvSpPr/>
            </xdr:nvSpPr>
            <xdr:spPr>
              <a:xfrm>
                <a:off x="6169895" y="1900224"/>
                <a:ext cx="1304812" cy="1294313"/>
              </a:xfrm>
              <a:prstGeom prst="rect">
                <a:avLst/>
              </a:prstGeom>
              <a:solidFill>
                <a:schemeClr val="bg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80FC675B-B8AA-64AE-FBD3-28294FF474DB}"/>
                </a:ext>
              </a:extLst>
            </xdr:cNvPr>
            <xdr:cNvSpPr/>
          </xdr:nvSpPr>
          <xdr:spPr>
            <a:xfrm>
              <a:off x="4172856" y="1940114"/>
              <a:ext cx="889000" cy="79156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D</a:t>
              </a:r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2D6CF826-1816-49F1-E8D3-34DBC064C922}"/>
              </a:ext>
            </a:extLst>
          </xdr:cNvPr>
          <xdr:cNvGrpSpPr/>
        </xdr:nvGrpSpPr>
        <xdr:grpSpPr>
          <a:xfrm rot="16200000">
            <a:off x="10630910" y="6985708"/>
            <a:ext cx="1645710" cy="648274"/>
            <a:chOff x="12690315" y="11131003"/>
            <a:chExt cx="2052208" cy="2359298"/>
          </a:xfrm>
        </xdr:grpSpPr>
        <xdr:grpSp>
          <xdr:nvGrpSpPr>
            <xdr:cNvPr id="41" name="Group 40">
              <a:extLst>
                <a:ext uri="{FF2B5EF4-FFF2-40B4-BE49-F238E27FC236}">
                  <a16:creationId xmlns:a16="http://schemas.microsoft.com/office/drawing/2014/main" id="{79E7018A-D503-8D9C-B3D2-6438B0747797}"/>
                </a:ext>
              </a:extLst>
            </xdr:cNvPr>
            <xdr:cNvGrpSpPr/>
          </xdr:nvGrpSpPr>
          <xdr:grpSpPr>
            <a:xfrm>
              <a:off x="12690315" y="11131003"/>
              <a:ext cx="2052208" cy="2359298"/>
              <a:chOff x="4697150" y="4663166"/>
              <a:chExt cx="1949975" cy="1266768"/>
            </a:xfrm>
          </xdr:grpSpPr>
          <xdr:pic>
            <xdr:nvPicPr>
              <xdr:cNvPr id="43" name="Picture 42">
                <a:extLst>
                  <a:ext uri="{FF2B5EF4-FFF2-40B4-BE49-F238E27FC236}">
                    <a16:creationId xmlns:a16="http://schemas.microsoft.com/office/drawing/2014/main" id="{C458D74A-D774-8211-6E2B-761564AA466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4697150" y="4664124"/>
                <a:ext cx="1932472" cy="1265810"/>
              </a:xfrm>
              <a:prstGeom prst="rect">
                <a:avLst/>
              </a:prstGeom>
            </xdr:spPr>
          </xdr:pic>
          <xdr:sp macro="" textlink="">
            <xdr:nvSpPr>
              <xdr:cNvPr id="44" name="Rectangle 43">
                <a:extLst>
                  <a:ext uri="{FF2B5EF4-FFF2-40B4-BE49-F238E27FC236}">
                    <a16:creationId xmlns:a16="http://schemas.microsoft.com/office/drawing/2014/main" id="{5F469E87-4DEB-936B-13E6-BFE0E314253F}"/>
                  </a:ext>
                </a:extLst>
              </xdr:cNvPr>
              <xdr:cNvSpPr/>
            </xdr:nvSpPr>
            <xdr:spPr>
              <a:xfrm>
                <a:off x="4704394" y="4663166"/>
                <a:ext cx="1942731" cy="1256872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2" name="Rectangle 41">
              <a:extLst>
                <a:ext uri="{FF2B5EF4-FFF2-40B4-BE49-F238E27FC236}">
                  <a16:creationId xmlns:a16="http://schemas.microsoft.com/office/drawing/2014/main" id="{8A48F658-1D78-0AA4-44D3-4CFBF63A04CD}"/>
                </a:ext>
              </a:extLst>
            </xdr:cNvPr>
            <xdr:cNvSpPr/>
          </xdr:nvSpPr>
          <xdr:spPr>
            <a:xfrm>
              <a:off x="13302706" y="11895558"/>
              <a:ext cx="980077" cy="866482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F</a:t>
              </a:r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860A476-DFFB-9A25-C31A-985CB310D498}"/>
              </a:ext>
            </a:extLst>
          </xdr:cNvPr>
          <xdr:cNvGrpSpPr/>
        </xdr:nvGrpSpPr>
        <xdr:grpSpPr>
          <a:xfrm>
            <a:off x="7526753" y="3922986"/>
            <a:ext cx="1067835" cy="840489"/>
            <a:chOff x="7403600" y="19633475"/>
            <a:chExt cx="1431609" cy="2135415"/>
          </a:xfrm>
        </xdr:grpSpPr>
        <xdr:grpSp>
          <xdr:nvGrpSpPr>
            <xdr:cNvPr id="37" name="Group 36">
              <a:extLst>
                <a:ext uri="{FF2B5EF4-FFF2-40B4-BE49-F238E27FC236}">
                  <a16:creationId xmlns:a16="http://schemas.microsoft.com/office/drawing/2014/main" id="{E24BC152-66F4-F214-A79B-ED62BBB07CE9}"/>
                </a:ext>
              </a:extLst>
            </xdr:cNvPr>
            <xdr:cNvGrpSpPr/>
          </xdr:nvGrpSpPr>
          <xdr:grpSpPr>
            <a:xfrm>
              <a:off x="7403600" y="19633475"/>
              <a:ext cx="1431609" cy="2135415"/>
              <a:chOff x="6206067" y="1900075"/>
              <a:chExt cx="1303867" cy="1308790"/>
            </a:xfrm>
          </xdr:grpSpPr>
          <xdr:pic>
            <xdr:nvPicPr>
              <xdr:cNvPr id="39" name="Picture 38">
                <a:extLst>
                  <a:ext uri="{FF2B5EF4-FFF2-40B4-BE49-F238E27FC236}">
                    <a16:creationId xmlns:a16="http://schemas.microsoft.com/office/drawing/2014/main" id="{2A2AC64E-D076-BCC5-AE34-E2DCCC636AF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06067" y="1904999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40" name="Rectangle 39">
                <a:extLst>
                  <a:ext uri="{FF2B5EF4-FFF2-40B4-BE49-F238E27FC236}">
                    <a16:creationId xmlns:a16="http://schemas.microsoft.com/office/drawing/2014/main" id="{1AE5D553-67A7-51C4-C60C-EB1A2C78F39D}"/>
                  </a:ext>
                </a:extLst>
              </xdr:cNvPr>
              <xdr:cNvSpPr/>
            </xdr:nvSpPr>
            <xdr:spPr>
              <a:xfrm>
                <a:off x="6206868" y="1900075"/>
                <a:ext cx="1303066" cy="1291865"/>
              </a:xfrm>
              <a:prstGeom prst="rect">
                <a:avLst/>
              </a:prstGeom>
              <a:solidFill>
                <a:schemeClr val="accent4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8" name="Rectangle 37">
              <a:extLst>
                <a:ext uri="{FF2B5EF4-FFF2-40B4-BE49-F238E27FC236}">
                  <a16:creationId xmlns:a16="http://schemas.microsoft.com/office/drawing/2014/main" id="{90494E03-855D-9FC1-7DD2-BD95B4B50DD5}"/>
                </a:ext>
              </a:extLst>
            </xdr:cNvPr>
            <xdr:cNvSpPr/>
          </xdr:nvSpPr>
          <xdr:spPr>
            <a:xfrm>
              <a:off x="7800703" y="20388496"/>
              <a:ext cx="710837" cy="803900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B</a:t>
              </a:r>
            </a:p>
          </xdr:txBody>
        </xdr:sp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AA2172F0-2C74-58C7-341E-B86E28C8CAD7}"/>
              </a:ext>
            </a:extLst>
          </xdr:cNvPr>
          <xdr:cNvGrpSpPr/>
        </xdr:nvGrpSpPr>
        <xdr:grpSpPr>
          <a:xfrm>
            <a:off x="8596149" y="3922351"/>
            <a:ext cx="810298" cy="437991"/>
            <a:chOff x="486956" y="1091837"/>
            <a:chExt cx="1152433" cy="1261292"/>
          </a:xfrm>
        </xdr:grpSpPr>
        <xdr:grpSp>
          <xdr:nvGrpSpPr>
            <xdr:cNvPr id="33" name="Group 32">
              <a:extLst>
                <a:ext uri="{FF2B5EF4-FFF2-40B4-BE49-F238E27FC236}">
                  <a16:creationId xmlns:a16="http://schemas.microsoft.com/office/drawing/2014/main" id="{E31FF2AA-1F38-41B2-4952-E90C816E40AD}"/>
                </a:ext>
              </a:extLst>
            </xdr:cNvPr>
            <xdr:cNvGrpSpPr/>
          </xdr:nvGrpSpPr>
          <xdr:grpSpPr>
            <a:xfrm>
              <a:off x="486956" y="1091837"/>
              <a:ext cx="1152433" cy="1261292"/>
              <a:chOff x="3253006" y="1912346"/>
              <a:chExt cx="1335928" cy="1313453"/>
            </a:xfrm>
            <a:solidFill>
              <a:schemeClr val="accent2">
                <a:lumMod val="75000"/>
              </a:schemeClr>
            </a:solidFill>
          </xdr:grpSpPr>
          <xdr:pic>
            <xdr:nvPicPr>
              <xdr:cNvPr id="35" name="Picture 34">
                <a:extLst>
                  <a:ext uri="{FF2B5EF4-FFF2-40B4-BE49-F238E27FC236}">
                    <a16:creationId xmlns:a16="http://schemas.microsoft.com/office/drawing/2014/main" id="{15C27022-A254-60A9-696D-7E67FBE7C5D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285067" y="1921933"/>
                <a:ext cx="1303866" cy="1303866"/>
              </a:xfrm>
              <a:prstGeom prst="rect">
                <a:avLst/>
              </a:prstGeom>
              <a:grpFill/>
            </xdr:spPr>
          </xdr:pic>
          <xdr:sp macro="" textlink="">
            <xdr:nvSpPr>
              <xdr:cNvPr id="36" name="Rectangle 35">
                <a:extLst>
                  <a:ext uri="{FF2B5EF4-FFF2-40B4-BE49-F238E27FC236}">
                    <a16:creationId xmlns:a16="http://schemas.microsoft.com/office/drawing/2014/main" id="{2363A599-2B27-C9D4-D5D7-72437F135F59}"/>
                  </a:ext>
                </a:extLst>
              </xdr:cNvPr>
              <xdr:cNvSpPr/>
            </xdr:nvSpPr>
            <xdr:spPr>
              <a:xfrm>
                <a:off x="3253006" y="1912346"/>
                <a:ext cx="1335928" cy="1284690"/>
              </a:xfrm>
              <a:prstGeom prst="rect">
                <a:avLst/>
              </a:prstGeom>
              <a:grpFill/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16C13B4E-6103-B30F-AEA1-E40483D9910F}"/>
                </a:ext>
              </a:extLst>
            </xdr:cNvPr>
            <xdr:cNvSpPr/>
          </xdr:nvSpPr>
          <xdr:spPr>
            <a:xfrm>
              <a:off x="759098" y="1331836"/>
              <a:ext cx="574765" cy="678610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C</a:t>
              </a:r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5AEFD91F-FBAC-1478-A2A3-7A3D2752BBD9}"/>
              </a:ext>
            </a:extLst>
          </xdr:cNvPr>
          <xdr:cNvGrpSpPr/>
        </xdr:nvGrpSpPr>
        <xdr:grpSpPr>
          <a:xfrm>
            <a:off x="11771266" y="6084378"/>
            <a:ext cx="1279017" cy="846269"/>
            <a:chOff x="9052922" y="10123712"/>
            <a:chExt cx="2123440" cy="2153557"/>
          </a:xfrm>
        </xdr:grpSpPr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721A446E-3C3E-5B0D-6CD6-40452AAC1BC9}"/>
                </a:ext>
              </a:extLst>
            </xdr:cNvPr>
            <xdr:cNvGrpSpPr/>
          </xdr:nvGrpSpPr>
          <xdr:grpSpPr>
            <a:xfrm>
              <a:off x="9052922" y="10123712"/>
              <a:ext cx="2123440" cy="2153557"/>
              <a:chOff x="2166446" y="4637853"/>
              <a:chExt cx="1951819" cy="1297469"/>
            </a:xfrm>
          </xdr:grpSpPr>
          <xdr:pic>
            <xdr:nvPicPr>
              <xdr:cNvPr id="31" name="Picture 30">
                <a:extLst>
                  <a:ext uri="{FF2B5EF4-FFF2-40B4-BE49-F238E27FC236}">
                    <a16:creationId xmlns:a16="http://schemas.microsoft.com/office/drawing/2014/main" id="{A02414C4-D5E6-477D-A79D-D29FC95B382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2183009" y="4669512"/>
                <a:ext cx="1935256" cy="1265810"/>
              </a:xfrm>
              <a:prstGeom prst="rect">
                <a:avLst/>
              </a:prstGeom>
            </xdr:spPr>
          </xdr:pic>
          <xdr:sp macro="" textlink="">
            <xdr:nvSpPr>
              <xdr:cNvPr id="32" name="Rectangle 31">
                <a:extLst>
                  <a:ext uri="{FF2B5EF4-FFF2-40B4-BE49-F238E27FC236}">
                    <a16:creationId xmlns:a16="http://schemas.microsoft.com/office/drawing/2014/main" id="{B556371D-F5E3-E728-E369-11FC8771AAB7}"/>
                  </a:ext>
                </a:extLst>
              </xdr:cNvPr>
              <xdr:cNvSpPr/>
            </xdr:nvSpPr>
            <xdr:spPr>
              <a:xfrm>
                <a:off x="2166446" y="4637853"/>
                <a:ext cx="1943332" cy="1291924"/>
              </a:xfrm>
              <a:prstGeom prst="rect">
                <a:avLst/>
              </a:prstGeom>
              <a:solidFill>
                <a:schemeClr val="accent6">
                  <a:lumMod val="20000"/>
                  <a:lumOff val="8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0" name="Rectangle 29">
              <a:extLst>
                <a:ext uri="{FF2B5EF4-FFF2-40B4-BE49-F238E27FC236}">
                  <a16:creationId xmlns:a16="http://schemas.microsoft.com/office/drawing/2014/main" id="{D5C6CA68-95FF-960E-3ACC-673CF8C31315}"/>
                </a:ext>
              </a:extLst>
            </xdr:cNvPr>
            <xdr:cNvSpPr/>
          </xdr:nvSpPr>
          <xdr:spPr>
            <a:xfrm>
              <a:off x="9555115" y="10361185"/>
              <a:ext cx="1144096" cy="162477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E</a:t>
              </a: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8D001823-E7F6-0126-8626-E71A44078B8D}"/>
              </a:ext>
            </a:extLst>
          </xdr:cNvPr>
          <xdr:cNvGrpSpPr/>
        </xdr:nvGrpSpPr>
        <xdr:grpSpPr>
          <a:xfrm>
            <a:off x="10459647" y="6055977"/>
            <a:ext cx="1308001" cy="430525"/>
            <a:chOff x="9071066" y="14609355"/>
            <a:chExt cx="1330960" cy="1258388"/>
          </a:xfrm>
        </xdr:grpSpPr>
        <xdr:grpSp>
          <xdr:nvGrpSpPr>
            <xdr:cNvPr id="25" name="Group 24">
              <a:extLst>
                <a:ext uri="{FF2B5EF4-FFF2-40B4-BE49-F238E27FC236}">
                  <a16:creationId xmlns:a16="http://schemas.microsoft.com/office/drawing/2014/main" id="{8FA9CCC9-EF75-A2F2-83F3-B8C100EDDCA9}"/>
                </a:ext>
              </a:extLst>
            </xdr:cNvPr>
            <xdr:cNvGrpSpPr/>
          </xdr:nvGrpSpPr>
          <xdr:grpSpPr>
            <a:xfrm>
              <a:off x="9071066" y="14609355"/>
              <a:ext cx="1330960" cy="1258388"/>
              <a:chOff x="4656034" y="4721593"/>
              <a:chExt cx="1973588" cy="1275182"/>
            </a:xfrm>
          </xdr:grpSpPr>
          <xdr:pic>
            <xdr:nvPicPr>
              <xdr:cNvPr id="27" name="Picture 26">
                <a:extLst>
                  <a:ext uri="{FF2B5EF4-FFF2-40B4-BE49-F238E27FC236}">
                    <a16:creationId xmlns:a16="http://schemas.microsoft.com/office/drawing/2014/main" id="{119C1706-D776-DB67-315C-D1A44173C38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4697150" y="4730964"/>
                <a:ext cx="1932472" cy="1265810"/>
              </a:xfrm>
              <a:prstGeom prst="rect">
                <a:avLst/>
              </a:prstGeom>
            </xdr:spPr>
          </xdr:pic>
          <xdr:sp macro="" textlink="">
            <xdr:nvSpPr>
              <xdr:cNvPr id="28" name="Rectangle 27">
                <a:extLst>
                  <a:ext uri="{FF2B5EF4-FFF2-40B4-BE49-F238E27FC236}">
                    <a16:creationId xmlns:a16="http://schemas.microsoft.com/office/drawing/2014/main" id="{6254EF72-BD49-B32B-EB44-50AF0D88292B}"/>
                  </a:ext>
                </a:extLst>
              </xdr:cNvPr>
              <xdr:cNvSpPr/>
            </xdr:nvSpPr>
            <xdr:spPr>
              <a:xfrm>
                <a:off x="4656034" y="4721593"/>
                <a:ext cx="1973588" cy="1275182"/>
              </a:xfrm>
              <a:prstGeom prst="rect">
                <a:avLst/>
              </a:prstGeom>
              <a:solidFill>
                <a:schemeClr val="accent3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C485EC45-58E1-6E8E-6519-D54D596AC311}"/>
                </a:ext>
              </a:extLst>
            </xdr:cNvPr>
            <xdr:cNvSpPr/>
          </xdr:nvSpPr>
          <xdr:spPr>
            <a:xfrm>
              <a:off x="9499600" y="14829823"/>
              <a:ext cx="487680" cy="72891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G</a:t>
              </a:r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046F215B-0D42-382F-5E4B-A7627CE3A943}"/>
              </a:ext>
            </a:extLst>
          </xdr:cNvPr>
          <xdr:cNvGrpSpPr/>
        </xdr:nvGrpSpPr>
        <xdr:grpSpPr>
          <a:xfrm>
            <a:off x="9884303" y="8411300"/>
            <a:ext cx="1234598" cy="437511"/>
            <a:chOff x="1341121" y="18600490"/>
            <a:chExt cx="1087120" cy="1201349"/>
          </a:xfrm>
        </xdr:grpSpPr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76CFFADF-BC8E-E240-70D5-4A0CFC0BC4B1}"/>
                </a:ext>
              </a:extLst>
            </xdr:cNvPr>
            <xdr:cNvGrpSpPr/>
          </xdr:nvGrpSpPr>
          <xdr:grpSpPr>
            <a:xfrm>
              <a:off x="1341121" y="18600490"/>
              <a:ext cx="1087120" cy="1201349"/>
              <a:chOff x="288607" y="2746443"/>
              <a:chExt cx="1672192" cy="820118"/>
            </a:xfrm>
          </xdr:grpSpPr>
          <xdr:pic>
            <xdr:nvPicPr>
              <xdr:cNvPr id="23" name="Picture 22">
                <a:extLst>
                  <a:ext uri="{FF2B5EF4-FFF2-40B4-BE49-F238E27FC236}">
                    <a16:creationId xmlns:a16="http://schemas.microsoft.com/office/drawing/2014/main" id="{A9AC4903-BE75-DCED-DEE1-E385F99064E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96630" y="27464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24" name="Rectangle 23">
                <a:extLst>
                  <a:ext uri="{FF2B5EF4-FFF2-40B4-BE49-F238E27FC236}">
                    <a16:creationId xmlns:a16="http://schemas.microsoft.com/office/drawing/2014/main" id="{91BC1BE5-79B6-1A1F-7A1C-9D49D636C201}"/>
                  </a:ext>
                </a:extLst>
              </xdr:cNvPr>
              <xdr:cNvSpPr/>
            </xdr:nvSpPr>
            <xdr:spPr>
              <a:xfrm>
                <a:off x="288607" y="2748129"/>
                <a:ext cx="1672192" cy="797625"/>
              </a:xfrm>
              <a:prstGeom prst="rect">
                <a:avLst/>
              </a:prstGeom>
              <a:solidFill>
                <a:schemeClr val="accent6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5E12821A-6778-C5B6-DBC0-B175517BD170}"/>
                </a:ext>
              </a:extLst>
            </xdr:cNvPr>
            <xdr:cNvSpPr/>
          </xdr:nvSpPr>
          <xdr:spPr>
            <a:xfrm>
              <a:off x="1686560" y="18915796"/>
              <a:ext cx="375920" cy="603691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K</a:t>
              </a:r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A96C8324-D651-87BF-5584-67C7EF4B1538}"/>
              </a:ext>
            </a:extLst>
          </xdr:cNvPr>
          <xdr:cNvGrpSpPr/>
        </xdr:nvGrpSpPr>
        <xdr:grpSpPr>
          <a:xfrm>
            <a:off x="8594837" y="4357372"/>
            <a:ext cx="821598" cy="413067"/>
            <a:chOff x="3647441" y="19785639"/>
            <a:chExt cx="1168400" cy="1265881"/>
          </a:xfrm>
        </xdr:grpSpPr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7E103DDF-F550-5EC5-0B7F-ECE970C78F0E}"/>
                </a:ext>
              </a:extLst>
            </xdr:cNvPr>
            <xdr:cNvGrpSpPr/>
          </xdr:nvGrpSpPr>
          <xdr:grpSpPr>
            <a:xfrm>
              <a:off x="3647441" y="19785639"/>
              <a:ext cx="1168400" cy="1265881"/>
              <a:chOff x="3262466" y="1921933"/>
              <a:chExt cx="1326467" cy="1303866"/>
            </a:xfrm>
          </xdr:grpSpPr>
          <xdr:pic>
            <xdr:nvPicPr>
              <xdr:cNvPr id="19" name="Picture 18">
                <a:extLst>
                  <a:ext uri="{FF2B5EF4-FFF2-40B4-BE49-F238E27FC236}">
                    <a16:creationId xmlns:a16="http://schemas.microsoft.com/office/drawing/2014/main" id="{0C654500-F384-0E62-80CE-8C7403888B2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285067" y="1921933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20" name="Rectangle 19">
                <a:extLst>
                  <a:ext uri="{FF2B5EF4-FFF2-40B4-BE49-F238E27FC236}">
                    <a16:creationId xmlns:a16="http://schemas.microsoft.com/office/drawing/2014/main" id="{51758B53-AD93-9C61-2753-8E474089307B}"/>
                  </a:ext>
                </a:extLst>
              </xdr:cNvPr>
              <xdr:cNvSpPr/>
            </xdr:nvSpPr>
            <xdr:spPr>
              <a:xfrm>
                <a:off x="3262466" y="1928155"/>
                <a:ext cx="1326466" cy="1297643"/>
              </a:xfrm>
              <a:prstGeom prst="rect">
                <a:avLst/>
              </a:prstGeom>
              <a:solidFill>
                <a:schemeClr val="bg1">
                  <a:lumMod val="6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A54C95B4-EDFB-8D6C-7993-8088D4627046}"/>
                </a:ext>
              </a:extLst>
            </xdr:cNvPr>
            <xdr:cNvSpPr/>
          </xdr:nvSpPr>
          <xdr:spPr>
            <a:xfrm>
              <a:off x="3921760" y="20041903"/>
              <a:ext cx="518160" cy="72891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A</a:t>
              </a:r>
            </a:p>
          </xdr:txBody>
        </xdr:sp>
      </xdr:grp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56202</xdr:colOff>
      <xdr:row>14</xdr:row>
      <xdr:rowOff>23962</xdr:rowOff>
    </xdr:from>
    <xdr:to>
      <xdr:col>29</xdr:col>
      <xdr:colOff>122720</xdr:colOff>
      <xdr:row>27</xdr:row>
      <xdr:rowOff>387421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7EB71B2-BA1F-C043-A9FB-51D7140956A2}"/>
            </a:ext>
          </a:extLst>
        </xdr:cNvPr>
        <xdr:cNvGrpSpPr/>
      </xdr:nvGrpSpPr>
      <xdr:grpSpPr>
        <a:xfrm rot="10800000">
          <a:off x="6088702" y="5654295"/>
          <a:ext cx="5696851" cy="5591626"/>
          <a:chOff x="7526753" y="3922351"/>
          <a:chExt cx="5673688" cy="550336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9AEB8DBD-DBC6-FBFC-1F5B-5ACD0C9020AA}"/>
              </a:ext>
            </a:extLst>
          </xdr:cNvPr>
          <xdr:cNvGrpSpPr/>
        </xdr:nvGrpSpPr>
        <xdr:grpSpPr>
          <a:xfrm>
            <a:off x="9483451" y="5178955"/>
            <a:ext cx="968779" cy="1331869"/>
            <a:chOff x="471714" y="5025569"/>
            <a:chExt cx="2313215" cy="2440216"/>
          </a:xfrm>
        </xdr:grpSpPr>
        <xdr:grpSp>
          <xdr:nvGrpSpPr>
            <xdr:cNvPr id="65" name="Group 64">
              <a:extLst>
                <a:ext uri="{FF2B5EF4-FFF2-40B4-BE49-F238E27FC236}">
                  <a16:creationId xmlns:a16="http://schemas.microsoft.com/office/drawing/2014/main" id="{4B3EF78E-A912-FF13-82E1-AADF17C283FB}"/>
                </a:ext>
              </a:extLst>
            </xdr:cNvPr>
            <xdr:cNvGrpSpPr/>
          </xdr:nvGrpSpPr>
          <xdr:grpSpPr>
            <a:xfrm>
              <a:off x="471714" y="5025569"/>
              <a:ext cx="2313215" cy="2440216"/>
              <a:chOff x="1803360" y="3495864"/>
              <a:chExt cx="3091221" cy="954136"/>
            </a:xfrm>
          </xdr:grpSpPr>
          <xdr:pic>
            <xdr:nvPicPr>
              <xdr:cNvPr id="67" name="Picture 66">
                <a:extLst>
                  <a:ext uri="{FF2B5EF4-FFF2-40B4-BE49-F238E27FC236}">
                    <a16:creationId xmlns:a16="http://schemas.microsoft.com/office/drawing/2014/main" id="{65F9FD2C-853A-E087-6375-F704FC29052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813870" y="3496103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68" name="Rectangle 67">
                <a:extLst>
                  <a:ext uri="{FF2B5EF4-FFF2-40B4-BE49-F238E27FC236}">
                    <a16:creationId xmlns:a16="http://schemas.microsoft.com/office/drawing/2014/main" id="{EF6DB295-4115-A486-9564-F8F4FBE090C9}"/>
                  </a:ext>
                </a:extLst>
              </xdr:cNvPr>
              <xdr:cNvSpPr/>
            </xdr:nvSpPr>
            <xdr:spPr>
              <a:xfrm>
                <a:off x="1803360" y="3495864"/>
                <a:ext cx="3091221" cy="932854"/>
              </a:xfrm>
              <a:prstGeom prst="rect">
                <a:avLst/>
              </a:prstGeom>
              <a:solidFill>
                <a:srgbClr val="000000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15A40913-7CD7-9199-2B7F-2B3C9F08B89D}"/>
                </a:ext>
              </a:extLst>
            </xdr:cNvPr>
            <xdr:cNvSpPr txBox="1"/>
          </xdr:nvSpPr>
          <xdr:spPr>
            <a:xfrm rot="10800000">
              <a:off x="1097642" y="5669644"/>
              <a:ext cx="807358" cy="1112355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clip" horzOverflow="clip" vert="horz" wrap="square" lIns="50800" tIns="50800" rIns="50800" bIns="50800" numCol="1" spcCol="38100" rtlCol="0" anchor="t">
              <a:spAutoFit/>
            </a:bodyPr>
            <a:lstStyle/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I</a:t>
              </a:r>
            </a:p>
          </xdr:txBody>
        </xdr:sp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65737EEE-DA78-42EB-E345-F7EB2D5DCD33}"/>
              </a:ext>
            </a:extLst>
          </xdr:cNvPr>
          <xdr:cNvGrpSpPr/>
        </xdr:nvGrpSpPr>
        <xdr:grpSpPr>
          <a:xfrm>
            <a:off x="10419235" y="4495269"/>
            <a:ext cx="2047070" cy="1604019"/>
            <a:chOff x="7415704" y="5252355"/>
            <a:chExt cx="3184873" cy="3056534"/>
          </a:xfrm>
        </xdr:grpSpPr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585436B0-866A-1060-688B-359731980191}"/>
                </a:ext>
              </a:extLst>
            </xdr:cNvPr>
            <xdr:cNvGrpSpPr/>
          </xdr:nvGrpSpPr>
          <xdr:grpSpPr>
            <a:xfrm>
              <a:off x="7415704" y="5252355"/>
              <a:ext cx="3184873" cy="3056534"/>
              <a:chOff x="5969000" y="3563312"/>
              <a:chExt cx="3056466" cy="955052"/>
            </a:xfrm>
          </xdr:grpSpPr>
          <xdr:pic>
            <xdr:nvPicPr>
              <xdr:cNvPr id="63" name="Picture 62">
                <a:extLst>
                  <a:ext uri="{FF2B5EF4-FFF2-40B4-BE49-F238E27FC236}">
                    <a16:creationId xmlns:a16="http://schemas.microsoft.com/office/drawing/2014/main" id="{0F539D14-2019-C6E7-623F-C6356F0C880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5969000" y="3564467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64" name="Rectangle 63">
                <a:extLst>
                  <a:ext uri="{FF2B5EF4-FFF2-40B4-BE49-F238E27FC236}">
                    <a16:creationId xmlns:a16="http://schemas.microsoft.com/office/drawing/2014/main" id="{E51CB816-3EB9-5C43-AA86-09FA2C21FD35}"/>
                  </a:ext>
                </a:extLst>
              </xdr:cNvPr>
              <xdr:cNvSpPr/>
            </xdr:nvSpPr>
            <xdr:spPr>
              <a:xfrm>
                <a:off x="5982239" y="3563312"/>
                <a:ext cx="3038286" cy="926876"/>
              </a:xfrm>
              <a:prstGeom prst="rect">
                <a:avLst/>
              </a:prstGeom>
              <a:solidFill>
                <a:schemeClr val="accent1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AAC3225C-AA6C-BF4C-87EE-66AA18AD3B0A}"/>
                </a:ext>
              </a:extLst>
            </xdr:cNvPr>
            <xdr:cNvSpPr/>
          </xdr:nvSpPr>
          <xdr:spPr>
            <a:xfrm rot="10800000">
              <a:off x="8236858" y="5866530"/>
              <a:ext cx="1433285" cy="123001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7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J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DD0A7924-BC88-4871-08E6-66A48FA21BDC}"/>
              </a:ext>
            </a:extLst>
          </xdr:cNvPr>
          <xdr:cNvGrpSpPr/>
        </xdr:nvGrpSpPr>
        <xdr:grpSpPr>
          <a:xfrm rot="5400000">
            <a:off x="9626308" y="6023055"/>
            <a:ext cx="1020663" cy="1963306"/>
            <a:chOff x="4236358" y="10468429"/>
            <a:chExt cx="2450052" cy="2540000"/>
          </a:xfrm>
        </xdr:grpSpPr>
        <xdr:grpSp>
          <xdr:nvGrpSpPr>
            <xdr:cNvPr id="57" name="Group 56">
              <a:extLst>
                <a:ext uri="{FF2B5EF4-FFF2-40B4-BE49-F238E27FC236}">
                  <a16:creationId xmlns:a16="http://schemas.microsoft.com/office/drawing/2014/main" id="{991F1654-1D68-D7B1-D6AE-E47ED2727D1F}"/>
                </a:ext>
              </a:extLst>
            </xdr:cNvPr>
            <xdr:cNvGrpSpPr/>
          </xdr:nvGrpSpPr>
          <xdr:grpSpPr>
            <a:xfrm>
              <a:off x="4236358" y="10468429"/>
              <a:ext cx="2450052" cy="2540000"/>
              <a:chOff x="5969000" y="3564467"/>
              <a:chExt cx="3056466" cy="953897"/>
            </a:xfrm>
          </xdr:grpSpPr>
          <xdr:pic>
            <xdr:nvPicPr>
              <xdr:cNvPr id="59" name="Picture 58">
                <a:extLst>
                  <a:ext uri="{FF2B5EF4-FFF2-40B4-BE49-F238E27FC236}">
                    <a16:creationId xmlns:a16="http://schemas.microsoft.com/office/drawing/2014/main" id="{BD93AE77-CCA8-FE86-B61C-8CEA3E9283C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5969000" y="3564467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60" name="Rectangle 59">
                <a:extLst>
                  <a:ext uri="{FF2B5EF4-FFF2-40B4-BE49-F238E27FC236}">
                    <a16:creationId xmlns:a16="http://schemas.microsoft.com/office/drawing/2014/main" id="{FB607EED-82BB-C3E4-F7D8-5E627BFAB9CD}"/>
                  </a:ext>
                </a:extLst>
              </xdr:cNvPr>
              <xdr:cNvSpPr/>
            </xdr:nvSpPr>
            <xdr:spPr>
              <a:xfrm>
                <a:off x="5980316" y="3564467"/>
                <a:ext cx="3044193" cy="926643"/>
              </a:xfrm>
              <a:prstGeom prst="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F8E3ABE3-E536-364D-BB08-57343A281A28}"/>
                </a:ext>
              </a:extLst>
            </xdr:cNvPr>
            <xdr:cNvSpPr/>
          </xdr:nvSpPr>
          <xdr:spPr>
            <a:xfrm rot="5400000">
              <a:off x="5172572" y="10740887"/>
              <a:ext cx="513355" cy="1759228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5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H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4DE5B6B8-789C-3F55-C85F-264A82EAC7DF}"/>
              </a:ext>
            </a:extLst>
          </xdr:cNvPr>
          <xdr:cNvGrpSpPr/>
        </xdr:nvGrpSpPr>
        <xdr:grpSpPr>
          <a:xfrm>
            <a:off x="9488713" y="7523614"/>
            <a:ext cx="1628861" cy="900057"/>
            <a:chOff x="414384" y="10664222"/>
            <a:chExt cx="2616365" cy="2538697"/>
          </a:xfrm>
        </xdr:grpSpPr>
        <xdr:grpSp>
          <xdr:nvGrpSpPr>
            <xdr:cNvPr id="53" name="Group 52">
              <a:extLst>
                <a:ext uri="{FF2B5EF4-FFF2-40B4-BE49-F238E27FC236}">
                  <a16:creationId xmlns:a16="http://schemas.microsoft.com/office/drawing/2014/main" id="{5BCC5887-761C-8699-E32D-E3F2DA208154}"/>
                </a:ext>
              </a:extLst>
            </xdr:cNvPr>
            <xdr:cNvGrpSpPr/>
          </xdr:nvGrpSpPr>
          <xdr:grpSpPr>
            <a:xfrm>
              <a:off x="414384" y="10664222"/>
              <a:ext cx="2616365" cy="2538697"/>
              <a:chOff x="279697" y="1629743"/>
              <a:chExt cx="1648539" cy="820118"/>
            </a:xfrm>
          </xdr:grpSpPr>
          <xdr:pic>
            <xdr:nvPicPr>
              <xdr:cNvPr id="55" name="Picture 54">
                <a:extLst>
                  <a:ext uri="{FF2B5EF4-FFF2-40B4-BE49-F238E27FC236}">
                    <a16:creationId xmlns:a16="http://schemas.microsoft.com/office/drawing/2014/main" id="{222B3DF0-6CE6-009E-ABC4-52D853B0040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79697" y="16297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56" name="Rectangle 55">
                <a:extLst>
                  <a:ext uri="{FF2B5EF4-FFF2-40B4-BE49-F238E27FC236}">
                    <a16:creationId xmlns:a16="http://schemas.microsoft.com/office/drawing/2014/main" id="{17F4BD7B-B3FA-D7B4-9BEA-529BD6F010A0}"/>
                  </a:ext>
                </a:extLst>
              </xdr:cNvPr>
              <xdr:cNvSpPr/>
            </xdr:nvSpPr>
            <xdr:spPr>
              <a:xfrm>
                <a:off x="291292" y="1633012"/>
                <a:ext cx="1623386" cy="790019"/>
              </a:xfrm>
              <a:prstGeom prst="rect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61C2CBB8-475E-4EC7-9D13-E8703DC41573}"/>
                </a:ext>
              </a:extLst>
            </xdr:cNvPr>
            <xdr:cNvSpPr/>
          </xdr:nvSpPr>
          <xdr:spPr>
            <a:xfrm rot="10800000">
              <a:off x="1215935" y="11139035"/>
              <a:ext cx="1019265" cy="1154523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L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A6CA3DAF-458D-21E9-3D0A-A9494B59D6F3}"/>
              </a:ext>
            </a:extLst>
          </xdr:cNvPr>
          <xdr:cNvGrpSpPr/>
        </xdr:nvGrpSpPr>
        <xdr:grpSpPr>
          <a:xfrm>
            <a:off x="11135984" y="8122644"/>
            <a:ext cx="2064457" cy="1303072"/>
            <a:chOff x="2558143" y="14769568"/>
            <a:chExt cx="2603500" cy="3264432"/>
          </a:xfrm>
        </xdr:grpSpPr>
        <xdr:grpSp>
          <xdr:nvGrpSpPr>
            <xdr:cNvPr id="49" name="Group 48">
              <a:extLst>
                <a:ext uri="{FF2B5EF4-FFF2-40B4-BE49-F238E27FC236}">
                  <a16:creationId xmlns:a16="http://schemas.microsoft.com/office/drawing/2014/main" id="{FCC41F0A-7535-E01D-B614-99C6E88D5525}"/>
                </a:ext>
              </a:extLst>
            </xdr:cNvPr>
            <xdr:cNvGrpSpPr/>
          </xdr:nvGrpSpPr>
          <xdr:grpSpPr>
            <a:xfrm>
              <a:off x="2558143" y="14769568"/>
              <a:ext cx="2603500" cy="3264432"/>
              <a:chOff x="278210" y="2746443"/>
              <a:chExt cx="1666959" cy="820118"/>
            </a:xfrm>
          </xdr:grpSpPr>
          <xdr:pic>
            <xdr:nvPicPr>
              <xdr:cNvPr id="51" name="Picture 50">
                <a:extLst>
                  <a:ext uri="{FF2B5EF4-FFF2-40B4-BE49-F238E27FC236}">
                    <a16:creationId xmlns:a16="http://schemas.microsoft.com/office/drawing/2014/main" id="{41770230-5D39-C7F7-E0A3-283DC15176F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96630" y="27464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52" name="Rectangle 51">
                <a:extLst>
                  <a:ext uri="{FF2B5EF4-FFF2-40B4-BE49-F238E27FC236}">
                    <a16:creationId xmlns:a16="http://schemas.microsoft.com/office/drawing/2014/main" id="{FF6E0C97-60F3-9522-4DA4-C8DFC69CAE15}"/>
                  </a:ext>
                </a:extLst>
              </xdr:cNvPr>
              <xdr:cNvSpPr/>
            </xdr:nvSpPr>
            <xdr:spPr>
              <a:xfrm>
                <a:off x="278210" y="2748400"/>
                <a:ext cx="1661150" cy="804487"/>
              </a:xfrm>
              <a:prstGeom prst="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41D62CE-F31A-5E05-CD53-C7CB67ED8083}"/>
                </a:ext>
              </a:extLst>
            </xdr:cNvPr>
            <xdr:cNvSpPr/>
          </xdr:nvSpPr>
          <xdr:spPr>
            <a:xfrm rot="10800000">
              <a:off x="3356430" y="15760893"/>
              <a:ext cx="771071" cy="85414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M</a:t>
              </a: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B625DE77-75A4-57A8-77B9-CA9E6B2C7A54}"/>
              </a:ext>
            </a:extLst>
          </xdr:cNvPr>
          <xdr:cNvGrpSpPr/>
        </xdr:nvGrpSpPr>
        <xdr:grpSpPr>
          <a:xfrm>
            <a:off x="9401935" y="3928477"/>
            <a:ext cx="1068405" cy="1250186"/>
            <a:chOff x="3613420" y="1115787"/>
            <a:chExt cx="1956428" cy="2485569"/>
          </a:xfrm>
        </xdr:grpSpPr>
        <xdr:grpSp>
          <xdr:nvGrpSpPr>
            <xdr:cNvPr id="45" name="Group 44">
              <a:extLst>
                <a:ext uri="{FF2B5EF4-FFF2-40B4-BE49-F238E27FC236}">
                  <a16:creationId xmlns:a16="http://schemas.microsoft.com/office/drawing/2014/main" id="{316B64F0-2B30-5B33-0586-D980E87A885F}"/>
                </a:ext>
              </a:extLst>
            </xdr:cNvPr>
            <xdr:cNvGrpSpPr/>
          </xdr:nvGrpSpPr>
          <xdr:grpSpPr>
            <a:xfrm>
              <a:off x="3613420" y="1115787"/>
              <a:ext cx="1956428" cy="2485569"/>
              <a:chOff x="6169895" y="1900224"/>
              <a:chExt cx="1340038" cy="1308641"/>
            </a:xfrm>
          </xdr:grpSpPr>
          <xdr:pic>
            <xdr:nvPicPr>
              <xdr:cNvPr id="47" name="Picture 46">
                <a:extLst>
                  <a:ext uri="{FF2B5EF4-FFF2-40B4-BE49-F238E27FC236}">
                    <a16:creationId xmlns:a16="http://schemas.microsoft.com/office/drawing/2014/main" id="{F178CB1E-9443-7A21-A324-81EC024B300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06067" y="1904999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48" name="Rectangle 47">
                <a:extLst>
                  <a:ext uri="{FF2B5EF4-FFF2-40B4-BE49-F238E27FC236}">
                    <a16:creationId xmlns:a16="http://schemas.microsoft.com/office/drawing/2014/main" id="{5C35A5B0-60E2-F9D8-8029-5F14CB405B62}"/>
                  </a:ext>
                </a:extLst>
              </xdr:cNvPr>
              <xdr:cNvSpPr/>
            </xdr:nvSpPr>
            <xdr:spPr>
              <a:xfrm>
                <a:off x="6169895" y="1900224"/>
                <a:ext cx="1304812" cy="1294313"/>
              </a:xfrm>
              <a:prstGeom prst="rect">
                <a:avLst/>
              </a:prstGeom>
              <a:solidFill>
                <a:schemeClr val="bg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72CD13BA-5F27-7D9B-CFF9-F9ABBDD11BA5}"/>
                </a:ext>
              </a:extLst>
            </xdr:cNvPr>
            <xdr:cNvSpPr/>
          </xdr:nvSpPr>
          <xdr:spPr>
            <a:xfrm rot="10800000">
              <a:off x="4172856" y="1940114"/>
              <a:ext cx="889000" cy="79156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D</a:t>
              </a:r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848C2896-1795-4D58-9634-6360235690D3}"/>
              </a:ext>
            </a:extLst>
          </xdr:cNvPr>
          <xdr:cNvGrpSpPr/>
        </xdr:nvGrpSpPr>
        <xdr:grpSpPr>
          <a:xfrm rot="16200000">
            <a:off x="10630910" y="6985708"/>
            <a:ext cx="1645710" cy="648274"/>
            <a:chOff x="12690315" y="11131003"/>
            <a:chExt cx="2052208" cy="2359298"/>
          </a:xfrm>
        </xdr:grpSpPr>
        <xdr:grpSp>
          <xdr:nvGrpSpPr>
            <xdr:cNvPr id="41" name="Group 40">
              <a:extLst>
                <a:ext uri="{FF2B5EF4-FFF2-40B4-BE49-F238E27FC236}">
                  <a16:creationId xmlns:a16="http://schemas.microsoft.com/office/drawing/2014/main" id="{2972A474-1A3A-16FC-ED78-C74CE06A4952}"/>
                </a:ext>
              </a:extLst>
            </xdr:cNvPr>
            <xdr:cNvGrpSpPr/>
          </xdr:nvGrpSpPr>
          <xdr:grpSpPr>
            <a:xfrm>
              <a:off x="12690315" y="11131003"/>
              <a:ext cx="2052208" cy="2359298"/>
              <a:chOff x="4697150" y="4663166"/>
              <a:chExt cx="1949975" cy="1266768"/>
            </a:xfrm>
          </xdr:grpSpPr>
          <xdr:pic>
            <xdr:nvPicPr>
              <xdr:cNvPr id="43" name="Picture 42">
                <a:extLst>
                  <a:ext uri="{FF2B5EF4-FFF2-40B4-BE49-F238E27FC236}">
                    <a16:creationId xmlns:a16="http://schemas.microsoft.com/office/drawing/2014/main" id="{DD93D5E6-CD38-426E-5E3D-530825435FC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4697150" y="4664124"/>
                <a:ext cx="1932472" cy="1265810"/>
              </a:xfrm>
              <a:prstGeom prst="rect">
                <a:avLst/>
              </a:prstGeom>
            </xdr:spPr>
          </xdr:pic>
          <xdr:sp macro="" textlink="">
            <xdr:nvSpPr>
              <xdr:cNvPr id="44" name="Rectangle 43">
                <a:extLst>
                  <a:ext uri="{FF2B5EF4-FFF2-40B4-BE49-F238E27FC236}">
                    <a16:creationId xmlns:a16="http://schemas.microsoft.com/office/drawing/2014/main" id="{1A3573FF-0632-1510-B2D8-445CF4215495}"/>
                  </a:ext>
                </a:extLst>
              </xdr:cNvPr>
              <xdr:cNvSpPr/>
            </xdr:nvSpPr>
            <xdr:spPr>
              <a:xfrm>
                <a:off x="4704394" y="4663166"/>
                <a:ext cx="1942731" cy="1256872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2" name="Rectangle 41">
              <a:extLst>
                <a:ext uri="{FF2B5EF4-FFF2-40B4-BE49-F238E27FC236}">
                  <a16:creationId xmlns:a16="http://schemas.microsoft.com/office/drawing/2014/main" id="{2DE7C678-D114-D592-42C1-BBE649ACA23D}"/>
                </a:ext>
              </a:extLst>
            </xdr:cNvPr>
            <xdr:cNvSpPr/>
          </xdr:nvSpPr>
          <xdr:spPr>
            <a:xfrm rot="10800000">
              <a:off x="13302707" y="11895558"/>
              <a:ext cx="980077" cy="866483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F</a:t>
              </a:r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92A32BC6-00CB-AFB8-4993-A397E31DCAF1}"/>
              </a:ext>
            </a:extLst>
          </xdr:cNvPr>
          <xdr:cNvGrpSpPr/>
        </xdr:nvGrpSpPr>
        <xdr:grpSpPr>
          <a:xfrm>
            <a:off x="7526753" y="3922986"/>
            <a:ext cx="1067835" cy="840489"/>
            <a:chOff x="7403600" y="19633475"/>
            <a:chExt cx="1431609" cy="2135415"/>
          </a:xfrm>
        </xdr:grpSpPr>
        <xdr:grpSp>
          <xdr:nvGrpSpPr>
            <xdr:cNvPr id="37" name="Group 36">
              <a:extLst>
                <a:ext uri="{FF2B5EF4-FFF2-40B4-BE49-F238E27FC236}">
                  <a16:creationId xmlns:a16="http://schemas.microsoft.com/office/drawing/2014/main" id="{0C1023BC-9867-CD44-F2DB-4823092B4A31}"/>
                </a:ext>
              </a:extLst>
            </xdr:cNvPr>
            <xdr:cNvGrpSpPr/>
          </xdr:nvGrpSpPr>
          <xdr:grpSpPr>
            <a:xfrm>
              <a:off x="7403600" y="19633475"/>
              <a:ext cx="1431609" cy="2135415"/>
              <a:chOff x="6206067" y="1900075"/>
              <a:chExt cx="1303867" cy="1308790"/>
            </a:xfrm>
          </xdr:grpSpPr>
          <xdr:pic>
            <xdr:nvPicPr>
              <xdr:cNvPr id="39" name="Picture 38">
                <a:extLst>
                  <a:ext uri="{FF2B5EF4-FFF2-40B4-BE49-F238E27FC236}">
                    <a16:creationId xmlns:a16="http://schemas.microsoft.com/office/drawing/2014/main" id="{E62FDFC3-C879-B4E5-89B7-08D0E30B080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06067" y="1904999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40" name="Rectangle 39">
                <a:extLst>
                  <a:ext uri="{FF2B5EF4-FFF2-40B4-BE49-F238E27FC236}">
                    <a16:creationId xmlns:a16="http://schemas.microsoft.com/office/drawing/2014/main" id="{BCFE8F80-E251-5EBD-C083-AD047424EEDC}"/>
                  </a:ext>
                </a:extLst>
              </xdr:cNvPr>
              <xdr:cNvSpPr/>
            </xdr:nvSpPr>
            <xdr:spPr>
              <a:xfrm>
                <a:off x="6206868" y="1900075"/>
                <a:ext cx="1303066" cy="1291865"/>
              </a:xfrm>
              <a:prstGeom prst="rect">
                <a:avLst/>
              </a:prstGeom>
              <a:solidFill>
                <a:schemeClr val="accent4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8" name="Rectangle 37">
              <a:extLst>
                <a:ext uri="{FF2B5EF4-FFF2-40B4-BE49-F238E27FC236}">
                  <a16:creationId xmlns:a16="http://schemas.microsoft.com/office/drawing/2014/main" id="{4A99D663-5B4D-7B08-2E32-3B1BD46A6F5D}"/>
                </a:ext>
              </a:extLst>
            </xdr:cNvPr>
            <xdr:cNvSpPr/>
          </xdr:nvSpPr>
          <xdr:spPr>
            <a:xfrm rot="10800000">
              <a:off x="7800704" y="20388497"/>
              <a:ext cx="710837" cy="803900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B</a:t>
              </a:r>
            </a:p>
          </xdr:txBody>
        </xdr:sp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595145E5-4906-910C-249E-718479FEB646}"/>
              </a:ext>
            </a:extLst>
          </xdr:cNvPr>
          <xdr:cNvGrpSpPr/>
        </xdr:nvGrpSpPr>
        <xdr:grpSpPr>
          <a:xfrm>
            <a:off x="8596149" y="3922351"/>
            <a:ext cx="810298" cy="437991"/>
            <a:chOff x="486956" y="1091837"/>
            <a:chExt cx="1152433" cy="1261292"/>
          </a:xfrm>
        </xdr:grpSpPr>
        <xdr:grpSp>
          <xdr:nvGrpSpPr>
            <xdr:cNvPr id="33" name="Group 32">
              <a:extLst>
                <a:ext uri="{FF2B5EF4-FFF2-40B4-BE49-F238E27FC236}">
                  <a16:creationId xmlns:a16="http://schemas.microsoft.com/office/drawing/2014/main" id="{B4150666-B771-37FC-3F26-A11C86C3319B}"/>
                </a:ext>
              </a:extLst>
            </xdr:cNvPr>
            <xdr:cNvGrpSpPr/>
          </xdr:nvGrpSpPr>
          <xdr:grpSpPr>
            <a:xfrm>
              <a:off x="486956" y="1091837"/>
              <a:ext cx="1152433" cy="1261292"/>
              <a:chOff x="3253006" y="1912346"/>
              <a:chExt cx="1335928" cy="1313453"/>
            </a:xfrm>
            <a:solidFill>
              <a:schemeClr val="accent2">
                <a:lumMod val="75000"/>
              </a:schemeClr>
            </a:solidFill>
          </xdr:grpSpPr>
          <xdr:pic>
            <xdr:nvPicPr>
              <xdr:cNvPr id="35" name="Picture 34">
                <a:extLst>
                  <a:ext uri="{FF2B5EF4-FFF2-40B4-BE49-F238E27FC236}">
                    <a16:creationId xmlns:a16="http://schemas.microsoft.com/office/drawing/2014/main" id="{EFB71C85-D29C-540D-529E-443B6200009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285067" y="1921933"/>
                <a:ext cx="1303866" cy="1303866"/>
              </a:xfrm>
              <a:prstGeom prst="rect">
                <a:avLst/>
              </a:prstGeom>
              <a:grpFill/>
            </xdr:spPr>
          </xdr:pic>
          <xdr:sp macro="" textlink="">
            <xdr:nvSpPr>
              <xdr:cNvPr id="36" name="Rectangle 35">
                <a:extLst>
                  <a:ext uri="{FF2B5EF4-FFF2-40B4-BE49-F238E27FC236}">
                    <a16:creationId xmlns:a16="http://schemas.microsoft.com/office/drawing/2014/main" id="{275B298A-E5F2-3853-C4EC-6AB978518D13}"/>
                  </a:ext>
                </a:extLst>
              </xdr:cNvPr>
              <xdr:cNvSpPr/>
            </xdr:nvSpPr>
            <xdr:spPr>
              <a:xfrm>
                <a:off x="3253006" y="1912346"/>
                <a:ext cx="1335928" cy="1284690"/>
              </a:xfrm>
              <a:prstGeom prst="rect">
                <a:avLst/>
              </a:prstGeom>
              <a:grpFill/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BEEF1064-75F3-9E1F-02D6-0B8B18A5FB91}"/>
                </a:ext>
              </a:extLst>
            </xdr:cNvPr>
            <xdr:cNvSpPr/>
          </xdr:nvSpPr>
          <xdr:spPr>
            <a:xfrm rot="10800000">
              <a:off x="759099" y="1331836"/>
              <a:ext cx="574764" cy="678609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C</a:t>
              </a:r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333014D2-2BA9-AD2A-2F17-68925CE2226C}"/>
              </a:ext>
            </a:extLst>
          </xdr:cNvPr>
          <xdr:cNvGrpSpPr/>
        </xdr:nvGrpSpPr>
        <xdr:grpSpPr>
          <a:xfrm>
            <a:off x="11771266" y="6084378"/>
            <a:ext cx="1279017" cy="846269"/>
            <a:chOff x="9052922" y="10123712"/>
            <a:chExt cx="2123440" cy="2153557"/>
          </a:xfrm>
        </xdr:grpSpPr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60469061-47B3-1C34-F47C-F114B603DADB}"/>
                </a:ext>
              </a:extLst>
            </xdr:cNvPr>
            <xdr:cNvGrpSpPr/>
          </xdr:nvGrpSpPr>
          <xdr:grpSpPr>
            <a:xfrm>
              <a:off x="9052922" y="10123712"/>
              <a:ext cx="2123440" cy="2153557"/>
              <a:chOff x="2166446" y="4637853"/>
              <a:chExt cx="1951819" cy="1297469"/>
            </a:xfrm>
          </xdr:grpSpPr>
          <xdr:pic>
            <xdr:nvPicPr>
              <xdr:cNvPr id="31" name="Picture 30">
                <a:extLst>
                  <a:ext uri="{FF2B5EF4-FFF2-40B4-BE49-F238E27FC236}">
                    <a16:creationId xmlns:a16="http://schemas.microsoft.com/office/drawing/2014/main" id="{7A1783DE-600E-C3AB-C102-148FCB24C5B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2183009" y="4669512"/>
                <a:ext cx="1935256" cy="1265810"/>
              </a:xfrm>
              <a:prstGeom prst="rect">
                <a:avLst/>
              </a:prstGeom>
            </xdr:spPr>
          </xdr:pic>
          <xdr:sp macro="" textlink="">
            <xdr:nvSpPr>
              <xdr:cNvPr id="32" name="Rectangle 31">
                <a:extLst>
                  <a:ext uri="{FF2B5EF4-FFF2-40B4-BE49-F238E27FC236}">
                    <a16:creationId xmlns:a16="http://schemas.microsoft.com/office/drawing/2014/main" id="{1E57D5A7-C39C-9ED1-22C6-A7357E634F12}"/>
                  </a:ext>
                </a:extLst>
              </xdr:cNvPr>
              <xdr:cNvSpPr/>
            </xdr:nvSpPr>
            <xdr:spPr>
              <a:xfrm>
                <a:off x="2166446" y="4637853"/>
                <a:ext cx="1943332" cy="1291924"/>
              </a:xfrm>
              <a:prstGeom prst="rect">
                <a:avLst/>
              </a:prstGeom>
              <a:solidFill>
                <a:schemeClr val="accent6">
                  <a:lumMod val="20000"/>
                  <a:lumOff val="8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0" name="Rectangle 29">
              <a:extLst>
                <a:ext uri="{FF2B5EF4-FFF2-40B4-BE49-F238E27FC236}">
                  <a16:creationId xmlns:a16="http://schemas.microsoft.com/office/drawing/2014/main" id="{18627226-8746-0D71-2531-5A42058FACE0}"/>
                </a:ext>
              </a:extLst>
            </xdr:cNvPr>
            <xdr:cNvSpPr/>
          </xdr:nvSpPr>
          <xdr:spPr>
            <a:xfrm rot="10800000">
              <a:off x="9555115" y="10361185"/>
              <a:ext cx="1144096" cy="162477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E</a:t>
              </a: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CDBBE35F-7481-D261-9648-8503AA70458E}"/>
              </a:ext>
            </a:extLst>
          </xdr:cNvPr>
          <xdr:cNvGrpSpPr/>
        </xdr:nvGrpSpPr>
        <xdr:grpSpPr>
          <a:xfrm>
            <a:off x="10459647" y="6055977"/>
            <a:ext cx="1308001" cy="430525"/>
            <a:chOff x="9071066" y="14609355"/>
            <a:chExt cx="1330960" cy="1258388"/>
          </a:xfrm>
        </xdr:grpSpPr>
        <xdr:grpSp>
          <xdr:nvGrpSpPr>
            <xdr:cNvPr id="25" name="Group 24">
              <a:extLst>
                <a:ext uri="{FF2B5EF4-FFF2-40B4-BE49-F238E27FC236}">
                  <a16:creationId xmlns:a16="http://schemas.microsoft.com/office/drawing/2014/main" id="{13849180-5537-52F3-5AC2-4972F4B49658}"/>
                </a:ext>
              </a:extLst>
            </xdr:cNvPr>
            <xdr:cNvGrpSpPr/>
          </xdr:nvGrpSpPr>
          <xdr:grpSpPr>
            <a:xfrm>
              <a:off x="9071066" y="14609355"/>
              <a:ext cx="1330960" cy="1258388"/>
              <a:chOff x="4656034" y="4721593"/>
              <a:chExt cx="1973588" cy="1275182"/>
            </a:xfrm>
          </xdr:grpSpPr>
          <xdr:pic>
            <xdr:nvPicPr>
              <xdr:cNvPr id="27" name="Picture 26">
                <a:extLst>
                  <a:ext uri="{FF2B5EF4-FFF2-40B4-BE49-F238E27FC236}">
                    <a16:creationId xmlns:a16="http://schemas.microsoft.com/office/drawing/2014/main" id="{F6AD8391-B8EA-94EB-9C60-C91636816D8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4697150" y="4730964"/>
                <a:ext cx="1932472" cy="1265810"/>
              </a:xfrm>
              <a:prstGeom prst="rect">
                <a:avLst/>
              </a:prstGeom>
            </xdr:spPr>
          </xdr:pic>
          <xdr:sp macro="" textlink="">
            <xdr:nvSpPr>
              <xdr:cNvPr id="28" name="Rectangle 27">
                <a:extLst>
                  <a:ext uri="{FF2B5EF4-FFF2-40B4-BE49-F238E27FC236}">
                    <a16:creationId xmlns:a16="http://schemas.microsoft.com/office/drawing/2014/main" id="{6047947D-4D36-9B08-6CDE-1E78C6462077}"/>
                  </a:ext>
                </a:extLst>
              </xdr:cNvPr>
              <xdr:cNvSpPr/>
            </xdr:nvSpPr>
            <xdr:spPr>
              <a:xfrm>
                <a:off x="4656034" y="4721593"/>
                <a:ext cx="1973588" cy="1275182"/>
              </a:xfrm>
              <a:prstGeom prst="rect">
                <a:avLst/>
              </a:prstGeom>
              <a:solidFill>
                <a:schemeClr val="accent3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6E585673-4147-E4AB-11A9-24545C067D12}"/>
                </a:ext>
              </a:extLst>
            </xdr:cNvPr>
            <xdr:cNvSpPr/>
          </xdr:nvSpPr>
          <xdr:spPr>
            <a:xfrm rot="10800000">
              <a:off x="9499598" y="14829825"/>
              <a:ext cx="487680" cy="72891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G</a:t>
              </a:r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7BF4552F-6133-47A2-7B59-0889C6FA2077}"/>
              </a:ext>
            </a:extLst>
          </xdr:cNvPr>
          <xdr:cNvGrpSpPr/>
        </xdr:nvGrpSpPr>
        <xdr:grpSpPr>
          <a:xfrm>
            <a:off x="9884303" y="8411300"/>
            <a:ext cx="1234598" cy="437511"/>
            <a:chOff x="1341121" y="18600490"/>
            <a:chExt cx="1087120" cy="1201349"/>
          </a:xfrm>
        </xdr:grpSpPr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850E8D96-2259-CC4E-7A3C-E460E2CD494E}"/>
                </a:ext>
              </a:extLst>
            </xdr:cNvPr>
            <xdr:cNvGrpSpPr/>
          </xdr:nvGrpSpPr>
          <xdr:grpSpPr>
            <a:xfrm>
              <a:off x="1341121" y="18600490"/>
              <a:ext cx="1087120" cy="1201349"/>
              <a:chOff x="288607" y="2746443"/>
              <a:chExt cx="1672192" cy="820118"/>
            </a:xfrm>
          </xdr:grpSpPr>
          <xdr:pic>
            <xdr:nvPicPr>
              <xdr:cNvPr id="23" name="Picture 22">
                <a:extLst>
                  <a:ext uri="{FF2B5EF4-FFF2-40B4-BE49-F238E27FC236}">
                    <a16:creationId xmlns:a16="http://schemas.microsoft.com/office/drawing/2014/main" id="{EB9170A9-B8E3-9055-8570-2689FC92CB3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96630" y="27464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24" name="Rectangle 23">
                <a:extLst>
                  <a:ext uri="{FF2B5EF4-FFF2-40B4-BE49-F238E27FC236}">
                    <a16:creationId xmlns:a16="http://schemas.microsoft.com/office/drawing/2014/main" id="{18D7DE08-624E-C5D5-9FE9-966869E913D6}"/>
                  </a:ext>
                </a:extLst>
              </xdr:cNvPr>
              <xdr:cNvSpPr/>
            </xdr:nvSpPr>
            <xdr:spPr>
              <a:xfrm>
                <a:off x="288607" y="2748129"/>
                <a:ext cx="1672192" cy="797625"/>
              </a:xfrm>
              <a:prstGeom prst="rect">
                <a:avLst/>
              </a:prstGeom>
              <a:solidFill>
                <a:schemeClr val="accent6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A6194DE5-9802-85E9-A5F0-8F202238F816}"/>
                </a:ext>
              </a:extLst>
            </xdr:cNvPr>
            <xdr:cNvSpPr/>
          </xdr:nvSpPr>
          <xdr:spPr>
            <a:xfrm rot="10800000">
              <a:off x="1686560" y="18915796"/>
              <a:ext cx="375920" cy="603691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K</a:t>
              </a:r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AC1B5223-2BF5-0C8C-3ABF-392C8FBDCA93}"/>
              </a:ext>
            </a:extLst>
          </xdr:cNvPr>
          <xdr:cNvGrpSpPr/>
        </xdr:nvGrpSpPr>
        <xdr:grpSpPr>
          <a:xfrm>
            <a:off x="8594837" y="4357372"/>
            <a:ext cx="821598" cy="413067"/>
            <a:chOff x="3647441" y="19785639"/>
            <a:chExt cx="1168400" cy="1265881"/>
          </a:xfrm>
        </xdr:grpSpPr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7954B1EF-25AA-66C0-39C6-74674A727CC8}"/>
                </a:ext>
              </a:extLst>
            </xdr:cNvPr>
            <xdr:cNvGrpSpPr/>
          </xdr:nvGrpSpPr>
          <xdr:grpSpPr>
            <a:xfrm>
              <a:off x="3647441" y="19785639"/>
              <a:ext cx="1168400" cy="1265881"/>
              <a:chOff x="3262466" y="1921933"/>
              <a:chExt cx="1326467" cy="1303866"/>
            </a:xfrm>
          </xdr:grpSpPr>
          <xdr:pic>
            <xdr:nvPicPr>
              <xdr:cNvPr id="19" name="Picture 18">
                <a:extLst>
                  <a:ext uri="{FF2B5EF4-FFF2-40B4-BE49-F238E27FC236}">
                    <a16:creationId xmlns:a16="http://schemas.microsoft.com/office/drawing/2014/main" id="{33525257-8ACF-7152-B8F8-EBE0134B86E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285067" y="1921933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20" name="Rectangle 19">
                <a:extLst>
                  <a:ext uri="{FF2B5EF4-FFF2-40B4-BE49-F238E27FC236}">
                    <a16:creationId xmlns:a16="http://schemas.microsoft.com/office/drawing/2014/main" id="{77AF1AD1-0167-66FA-BC9C-CC9F65531FB6}"/>
                  </a:ext>
                </a:extLst>
              </xdr:cNvPr>
              <xdr:cNvSpPr/>
            </xdr:nvSpPr>
            <xdr:spPr>
              <a:xfrm>
                <a:off x="3262466" y="1928155"/>
                <a:ext cx="1326465" cy="1297644"/>
              </a:xfrm>
              <a:prstGeom prst="rect">
                <a:avLst/>
              </a:prstGeom>
              <a:solidFill>
                <a:schemeClr val="bg1">
                  <a:lumMod val="6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047BD6FD-168C-BA1D-E137-8B6B59E7DD05}"/>
                </a:ext>
              </a:extLst>
            </xdr:cNvPr>
            <xdr:cNvSpPr/>
          </xdr:nvSpPr>
          <xdr:spPr>
            <a:xfrm rot="10800000">
              <a:off x="3921760" y="20041903"/>
              <a:ext cx="518160" cy="728916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A</a:t>
              </a:r>
            </a:p>
          </xdr:txBody>
        </xdr:sp>
      </xdr:grp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23964</xdr:colOff>
      <xdr:row>14</xdr:row>
      <xdr:rowOff>32240</xdr:rowOff>
    </xdr:from>
    <xdr:to>
      <xdr:col>28</xdr:col>
      <xdr:colOff>328415</xdr:colOff>
      <xdr:row>28</xdr:row>
      <xdr:rowOff>170645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961D04B-86DB-A048-A6C4-BAEBBEF9640F}"/>
            </a:ext>
          </a:extLst>
        </xdr:cNvPr>
        <xdr:cNvGrpSpPr/>
      </xdr:nvGrpSpPr>
      <xdr:grpSpPr>
        <a:xfrm rot="16200000">
          <a:off x="5869912" y="5652235"/>
          <a:ext cx="5673688" cy="5504263"/>
          <a:chOff x="7526753" y="3921453"/>
          <a:chExt cx="5673688" cy="550426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A1C43965-75D7-9674-B362-DB807FDA706C}"/>
              </a:ext>
            </a:extLst>
          </xdr:cNvPr>
          <xdr:cNvGrpSpPr/>
        </xdr:nvGrpSpPr>
        <xdr:grpSpPr>
          <a:xfrm>
            <a:off x="9483451" y="5178955"/>
            <a:ext cx="968779" cy="1331869"/>
            <a:chOff x="471714" y="5025569"/>
            <a:chExt cx="2313215" cy="2440216"/>
          </a:xfrm>
        </xdr:grpSpPr>
        <xdr:grpSp>
          <xdr:nvGrpSpPr>
            <xdr:cNvPr id="65" name="Group 64">
              <a:extLst>
                <a:ext uri="{FF2B5EF4-FFF2-40B4-BE49-F238E27FC236}">
                  <a16:creationId xmlns:a16="http://schemas.microsoft.com/office/drawing/2014/main" id="{1796DA50-40D8-26F0-C941-B4B6FD6ABBB8}"/>
                </a:ext>
              </a:extLst>
            </xdr:cNvPr>
            <xdr:cNvGrpSpPr/>
          </xdr:nvGrpSpPr>
          <xdr:grpSpPr>
            <a:xfrm>
              <a:off x="471714" y="5025569"/>
              <a:ext cx="2313215" cy="2440216"/>
              <a:chOff x="1803360" y="3495864"/>
              <a:chExt cx="3091221" cy="954136"/>
            </a:xfrm>
          </xdr:grpSpPr>
          <xdr:pic>
            <xdr:nvPicPr>
              <xdr:cNvPr id="67" name="Picture 66">
                <a:extLst>
                  <a:ext uri="{FF2B5EF4-FFF2-40B4-BE49-F238E27FC236}">
                    <a16:creationId xmlns:a16="http://schemas.microsoft.com/office/drawing/2014/main" id="{4986061D-EDB0-A092-BCD1-CF4B060724C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813870" y="3496103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68" name="Rectangle 67">
                <a:extLst>
                  <a:ext uri="{FF2B5EF4-FFF2-40B4-BE49-F238E27FC236}">
                    <a16:creationId xmlns:a16="http://schemas.microsoft.com/office/drawing/2014/main" id="{89F83743-BB30-2E00-D09F-331D93B5FCB9}"/>
                  </a:ext>
                </a:extLst>
              </xdr:cNvPr>
              <xdr:cNvSpPr/>
            </xdr:nvSpPr>
            <xdr:spPr>
              <a:xfrm>
                <a:off x="1803360" y="3495864"/>
                <a:ext cx="3091221" cy="932854"/>
              </a:xfrm>
              <a:prstGeom prst="rect">
                <a:avLst/>
              </a:prstGeom>
              <a:solidFill>
                <a:srgbClr val="000000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3B95D366-D001-C3BB-A122-D7D7FF6A5E1D}"/>
                </a:ext>
              </a:extLst>
            </xdr:cNvPr>
            <xdr:cNvSpPr txBox="1"/>
          </xdr:nvSpPr>
          <xdr:spPr>
            <a:xfrm rot="5400000">
              <a:off x="1191571" y="5500989"/>
              <a:ext cx="619500" cy="1449666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clip" horzOverflow="clip" vert="horz" wrap="square" lIns="50800" tIns="50800" rIns="50800" bIns="50800" numCol="1" spcCol="38100" rtlCol="0" anchor="t">
              <a:spAutoFit/>
            </a:bodyPr>
            <a:lstStyle/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I</a:t>
              </a:r>
            </a:p>
          </xdr:txBody>
        </xdr:sp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4D191CDE-4AC5-0F59-6D7C-20752AC90CCD}"/>
              </a:ext>
            </a:extLst>
          </xdr:cNvPr>
          <xdr:cNvGrpSpPr/>
        </xdr:nvGrpSpPr>
        <xdr:grpSpPr>
          <a:xfrm>
            <a:off x="10419235" y="4495269"/>
            <a:ext cx="2047070" cy="1604019"/>
            <a:chOff x="7415704" y="5252355"/>
            <a:chExt cx="3184873" cy="3056534"/>
          </a:xfrm>
        </xdr:grpSpPr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EFCEB50F-5D8C-0022-CBF5-FF514B21AD9D}"/>
                </a:ext>
              </a:extLst>
            </xdr:cNvPr>
            <xdr:cNvGrpSpPr/>
          </xdr:nvGrpSpPr>
          <xdr:grpSpPr>
            <a:xfrm>
              <a:off x="7415704" y="5252355"/>
              <a:ext cx="3184873" cy="3056534"/>
              <a:chOff x="5969000" y="3563312"/>
              <a:chExt cx="3056466" cy="955052"/>
            </a:xfrm>
          </xdr:grpSpPr>
          <xdr:pic>
            <xdr:nvPicPr>
              <xdr:cNvPr id="63" name="Picture 62">
                <a:extLst>
                  <a:ext uri="{FF2B5EF4-FFF2-40B4-BE49-F238E27FC236}">
                    <a16:creationId xmlns:a16="http://schemas.microsoft.com/office/drawing/2014/main" id="{159DCF47-ED2B-091E-07F5-416F3DA3D7C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5969000" y="3564467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64" name="Rectangle 63">
                <a:extLst>
                  <a:ext uri="{FF2B5EF4-FFF2-40B4-BE49-F238E27FC236}">
                    <a16:creationId xmlns:a16="http://schemas.microsoft.com/office/drawing/2014/main" id="{C86F97FD-ECC7-C406-5F43-6DEED8816E3A}"/>
                  </a:ext>
                </a:extLst>
              </xdr:cNvPr>
              <xdr:cNvSpPr/>
            </xdr:nvSpPr>
            <xdr:spPr>
              <a:xfrm>
                <a:off x="5982239" y="3563312"/>
                <a:ext cx="3038286" cy="926876"/>
              </a:xfrm>
              <a:prstGeom prst="rect">
                <a:avLst/>
              </a:prstGeom>
              <a:solidFill>
                <a:schemeClr val="accent1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E0BC368E-A9F5-F54A-977C-1794C8063E3C}"/>
                </a:ext>
              </a:extLst>
            </xdr:cNvPr>
            <xdr:cNvSpPr/>
          </xdr:nvSpPr>
          <xdr:spPr>
            <a:xfrm rot="5400000">
              <a:off x="8075766" y="5979404"/>
              <a:ext cx="1755468" cy="1004271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7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J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F01488EF-8788-C9DE-6466-317CCCF16743}"/>
              </a:ext>
            </a:extLst>
          </xdr:cNvPr>
          <xdr:cNvGrpSpPr/>
        </xdr:nvGrpSpPr>
        <xdr:grpSpPr>
          <a:xfrm rot="5400000">
            <a:off x="9626308" y="6023055"/>
            <a:ext cx="1020663" cy="1963306"/>
            <a:chOff x="4236358" y="10468429"/>
            <a:chExt cx="2450052" cy="2540000"/>
          </a:xfrm>
        </xdr:grpSpPr>
        <xdr:grpSp>
          <xdr:nvGrpSpPr>
            <xdr:cNvPr id="57" name="Group 56">
              <a:extLst>
                <a:ext uri="{FF2B5EF4-FFF2-40B4-BE49-F238E27FC236}">
                  <a16:creationId xmlns:a16="http://schemas.microsoft.com/office/drawing/2014/main" id="{4E12F410-FA1E-6D92-969C-688B81B758A0}"/>
                </a:ext>
              </a:extLst>
            </xdr:cNvPr>
            <xdr:cNvGrpSpPr/>
          </xdr:nvGrpSpPr>
          <xdr:grpSpPr>
            <a:xfrm>
              <a:off x="4236358" y="10468429"/>
              <a:ext cx="2450052" cy="2540000"/>
              <a:chOff x="5969000" y="3564467"/>
              <a:chExt cx="3056466" cy="953897"/>
            </a:xfrm>
          </xdr:grpSpPr>
          <xdr:pic>
            <xdr:nvPicPr>
              <xdr:cNvPr id="59" name="Picture 58">
                <a:extLst>
                  <a:ext uri="{FF2B5EF4-FFF2-40B4-BE49-F238E27FC236}">
                    <a16:creationId xmlns:a16="http://schemas.microsoft.com/office/drawing/2014/main" id="{1E7F7BD7-C356-BA15-EC77-80915010161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5969000" y="3564467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60" name="Rectangle 59">
                <a:extLst>
                  <a:ext uri="{FF2B5EF4-FFF2-40B4-BE49-F238E27FC236}">
                    <a16:creationId xmlns:a16="http://schemas.microsoft.com/office/drawing/2014/main" id="{E2498859-D2B3-7A10-E236-09C45C6BCEA3}"/>
                  </a:ext>
                </a:extLst>
              </xdr:cNvPr>
              <xdr:cNvSpPr/>
            </xdr:nvSpPr>
            <xdr:spPr>
              <a:xfrm>
                <a:off x="5980316" y="3564467"/>
                <a:ext cx="3044193" cy="926643"/>
              </a:xfrm>
              <a:prstGeom prst="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6C2BB3E-876B-E892-3B8D-D67AD6942A11}"/>
                </a:ext>
              </a:extLst>
            </xdr:cNvPr>
            <xdr:cNvSpPr/>
          </xdr:nvSpPr>
          <xdr:spPr>
            <a:xfrm>
              <a:off x="4952998" y="11146428"/>
              <a:ext cx="952499" cy="948146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5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H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46643C06-03FA-D930-9C69-3EE0CED18E99}"/>
              </a:ext>
            </a:extLst>
          </xdr:cNvPr>
          <xdr:cNvGrpSpPr/>
        </xdr:nvGrpSpPr>
        <xdr:grpSpPr>
          <a:xfrm>
            <a:off x="9488713" y="7523614"/>
            <a:ext cx="1628861" cy="900057"/>
            <a:chOff x="414384" y="10664222"/>
            <a:chExt cx="2616365" cy="2538697"/>
          </a:xfrm>
        </xdr:grpSpPr>
        <xdr:grpSp>
          <xdr:nvGrpSpPr>
            <xdr:cNvPr id="53" name="Group 52">
              <a:extLst>
                <a:ext uri="{FF2B5EF4-FFF2-40B4-BE49-F238E27FC236}">
                  <a16:creationId xmlns:a16="http://schemas.microsoft.com/office/drawing/2014/main" id="{6C6A0803-5FDA-B938-0A37-D7762FED7BC4}"/>
                </a:ext>
              </a:extLst>
            </xdr:cNvPr>
            <xdr:cNvGrpSpPr/>
          </xdr:nvGrpSpPr>
          <xdr:grpSpPr>
            <a:xfrm>
              <a:off x="414384" y="10664222"/>
              <a:ext cx="2616365" cy="2538697"/>
              <a:chOff x="279697" y="1629743"/>
              <a:chExt cx="1648539" cy="820118"/>
            </a:xfrm>
          </xdr:grpSpPr>
          <xdr:pic>
            <xdr:nvPicPr>
              <xdr:cNvPr id="55" name="Picture 54">
                <a:extLst>
                  <a:ext uri="{FF2B5EF4-FFF2-40B4-BE49-F238E27FC236}">
                    <a16:creationId xmlns:a16="http://schemas.microsoft.com/office/drawing/2014/main" id="{222CCFFD-316D-252F-B0EB-F9DB8B7EC5F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79697" y="16297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56" name="Rectangle 55">
                <a:extLst>
                  <a:ext uri="{FF2B5EF4-FFF2-40B4-BE49-F238E27FC236}">
                    <a16:creationId xmlns:a16="http://schemas.microsoft.com/office/drawing/2014/main" id="{2818ED52-E55B-19A5-01C2-E4A7B4BE702F}"/>
                  </a:ext>
                </a:extLst>
              </xdr:cNvPr>
              <xdr:cNvSpPr/>
            </xdr:nvSpPr>
            <xdr:spPr>
              <a:xfrm>
                <a:off x="291292" y="1633012"/>
                <a:ext cx="1623386" cy="790019"/>
              </a:xfrm>
              <a:prstGeom prst="rect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90349D43-9758-4ADF-DFDC-244AE4DE7067}"/>
                </a:ext>
              </a:extLst>
            </xdr:cNvPr>
            <xdr:cNvSpPr/>
          </xdr:nvSpPr>
          <xdr:spPr>
            <a:xfrm rot="5400000">
              <a:off x="830648" y="11387561"/>
              <a:ext cx="1789837" cy="657470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L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639E78A-0B6D-54A2-8FE5-3E5DE400DCD6}"/>
              </a:ext>
            </a:extLst>
          </xdr:cNvPr>
          <xdr:cNvGrpSpPr/>
        </xdr:nvGrpSpPr>
        <xdr:grpSpPr>
          <a:xfrm>
            <a:off x="11135984" y="8122644"/>
            <a:ext cx="2064457" cy="1303072"/>
            <a:chOff x="2558143" y="14769568"/>
            <a:chExt cx="2603500" cy="3264432"/>
          </a:xfrm>
        </xdr:grpSpPr>
        <xdr:grpSp>
          <xdr:nvGrpSpPr>
            <xdr:cNvPr id="49" name="Group 48">
              <a:extLst>
                <a:ext uri="{FF2B5EF4-FFF2-40B4-BE49-F238E27FC236}">
                  <a16:creationId xmlns:a16="http://schemas.microsoft.com/office/drawing/2014/main" id="{F68C2AB0-325F-0A0E-6A2D-6E2BC2D044D7}"/>
                </a:ext>
              </a:extLst>
            </xdr:cNvPr>
            <xdr:cNvGrpSpPr/>
          </xdr:nvGrpSpPr>
          <xdr:grpSpPr>
            <a:xfrm>
              <a:off x="2558143" y="14769568"/>
              <a:ext cx="2603500" cy="3264432"/>
              <a:chOff x="278210" y="2746443"/>
              <a:chExt cx="1666959" cy="820118"/>
            </a:xfrm>
          </xdr:grpSpPr>
          <xdr:pic>
            <xdr:nvPicPr>
              <xdr:cNvPr id="51" name="Picture 50">
                <a:extLst>
                  <a:ext uri="{FF2B5EF4-FFF2-40B4-BE49-F238E27FC236}">
                    <a16:creationId xmlns:a16="http://schemas.microsoft.com/office/drawing/2014/main" id="{BFEE07A8-6C95-5175-4E07-0DBCE09039C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96630" y="27464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52" name="Rectangle 51">
                <a:extLst>
                  <a:ext uri="{FF2B5EF4-FFF2-40B4-BE49-F238E27FC236}">
                    <a16:creationId xmlns:a16="http://schemas.microsoft.com/office/drawing/2014/main" id="{8BEAD8A8-6638-A52A-204B-29F144AA49F8}"/>
                  </a:ext>
                </a:extLst>
              </xdr:cNvPr>
              <xdr:cNvSpPr/>
            </xdr:nvSpPr>
            <xdr:spPr>
              <a:xfrm>
                <a:off x="278210" y="2748400"/>
                <a:ext cx="1661150" cy="804487"/>
              </a:xfrm>
              <a:prstGeom prst="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3542B78-5FCD-6608-591C-04D04C978432}"/>
                </a:ext>
              </a:extLst>
            </xdr:cNvPr>
            <xdr:cNvSpPr/>
          </xdr:nvSpPr>
          <xdr:spPr>
            <a:xfrm rot="5400000">
              <a:off x="2976101" y="15972978"/>
              <a:ext cx="1531728" cy="429975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M</a:t>
              </a: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596DFE-11B8-7A5D-C087-44CC7CF2A31F}"/>
              </a:ext>
            </a:extLst>
          </xdr:cNvPr>
          <xdr:cNvGrpSpPr/>
        </xdr:nvGrpSpPr>
        <xdr:grpSpPr>
          <a:xfrm>
            <a:off x="9401935" y="3928477"/>
            <a:ext cx="1068405" cy="1250186"/>
            <a:chOff x="3613420" y="1115787"/>
            <a:chExt cx="1956428" cy="2485569"/>
          </a:xfrm>
        </xdr:grpSpPr>
        <xdr:grpSp>
          <xdr:nvGrpSpPr>
            <xdr:cNvPr id="45" name="Group 44">
              <a:extLst>
                <a:ext uri="{FF2B5EF4-FFF2-40B4-BE49-F238E27FC236}">
                  <a16:creationId xmlns:a16="http://schemas.microsoft.com/office/drawing/2014/main" id="{04A38742-1EC3-0066-ECFC-77A90CCCB742}"/>
                </a:ext>
              </a:extLst>
            </xdr:cNvPr>
            <xdr:cNvGrpSpPr/>
          </xdr:nvGrpSpPr>
          <xdr:grpSpPr>
            <a:xfrm>
              <a:off x="3613420" y="1115787"/>
              <a:ext cx="1956428" cy="2485569"/>
              <a:chOff x="6169895" y="1900224"/>
              <a:chExt cx="1340038" cy="1308641"/>
            </a:xfrm>
          </xdr:grpSpPr>
          <xdr:pic>
            <xdr:nvPicPr>
              <xdr:cNvPr id="47" name="Picture 46">
                <a:extLst>
                  <a:ext uri="{FF2B5EF4-FFF2-40B4-BE49-F238E27FC236}">
                    <a16:creationId xmlns:a16="http://schemas.microsoft.com/office/drawing/2014/main" id="{AC24611B-AF64-894B-7BB1-3E9853F0DCB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06067" y="1904999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48" name="Rectangle 47">
                <a:extLst>
                  <a:ext uri="{FF2B5EF4-FFF2-40B4-BE49-F238E27FC236}">
                    <a16:creationId xmlns:a16="http://schemas.microsoft.com/office/drawing/2014/main" id="{5AEDAD9A-D5CA-2C03-6F96-5DB1CE56983C}"/>
                  </a:ext>
                </a:extLst>
              </xdr:cNvPr>
              <xdr:cNvSpPr/>
            </xdr:nvSpPr>
            <xdr:spPr>
              <a:xfrm>
                <a:off x="6169895" y="1900224"/>
                <a:ext cx="1304812" cy="1294313"/>
              </a:xfrm>
              <a:prstGeom prst="rect">
                <a:avLst/>
              </a:prstGeom>
              <a:solidFill>
                <a:schemeClr val="bg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7C6220A0-E3E7-316B-551F-6E426809510E}"/>
                </a:ext>
              </a:extLst>
            </xdr:cNvPr>
            <xdr:cNvSpPr/>
          </xdr:nvSpPr>
          <xdr:spPr>
            <a:xfrm rot="5400000">
              <a:off x="4134747" y="1971367"/>
              <a:ext cx="965218" cy="729059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D</a:t>
              </a:r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E62200A7-429D-3EB1-B75F-EB341166CA41}"/>
              </a:ext>
            </a:extLst>
          </xdr:cNvPr>
          <xdr:cNvGrpSpPr/>
        </xdr:nvGrpSpPr>
        <xdr:grpSpPr>
          <a:xfrm rot="16200000">
            <a:off x="10630910" y="6985708"/>
            <a:ext cx="1645710" cy="648274"/>
            <a:chOff x="12690315" y="11131003"/>
            <a:chExt cx="2052208" cy="2359298"/>
          </a:xfrm>
        </xdr:grpSpPr>
        <xdr:grpSp>
          <xdr:nvGrpSpPr>
            <xdr:cNvPr id="41" name="Group 40">
              <a:extLst>
                <a:ext uri="{FF2B5EF4-FFF2-40B4-BE49-F238E27FC236}">
                  <a16:creationId xmlns:a16="http://schemas.microsoft.com/office/drawing/2014/main" id="{1DA79B0A-9A68-B36D-7CA3-1ED7687B324E}"/>
                </a:ext>
              </a:extLst>
            </xdr:cNvPr>
            <xdr:cNvGrpSpPr/>
          </xdr:nvGrpSpPr>
          <xdr:grpSpPr>
            <a:xfrm>
              <a:off x="12690315" y="11131003"/>
              <a:ext cx="2052208" cy="2359298"/>
              <a:chOff x="4697150" y="4663166"/>
              <a:chExt cx="1949975" cy="1266768"/>
            </a:xfrm>
          </xdr:grpSpPr>
          <xdr:pic>
            <xdr:nvPicPr>
              <xdr:cNvPr id="43" name="Picture 42">
                <a:extLst>
                  <a:ext uri="{FF2B5EF4-FFF2-40B4-BE49-F238E27FC236}">
                    <a16:creationId xmlns:a16="http://schemas.microsoft.com/office/drawing/2014/main" id="{238FF1FD-6275-1292-CC2E-8E0CBEAEDF7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4697150" y="4664124"/>
                <a:ext cx="1932472" cy="1265810"/>
              </a:xfrm>
              <a:prstGeom prst="rect">
                <a:avLst/>
              </a:prstGeom>
            </xdr:spPr>
          </xdr:pic>
          <xdr:sp macro="" textlink="">
            <xdr:nvSpPr>
              <xdr:cNvPr id="44" name="Rectangle 43">
                <a:extLst>
                  <a:ext uri="{FF2B5EF4-FFF2-40B4-BE49-F238E27FC236}">
                    <a16:creationId xmlns:a16="http://schemas.microsoft.com/office/drawing/2014/main" id="{D47621A1-2F4C-E770-41E3-CA400B2F8F32}"/>
                  </a:ext>
                </a:extLst>
              </xdr:cNvPr>
              <xdr:cNvSpPr/>
            </xdr:nvSpPr>
            <xdr:spPr>
              <a:xfrm>
                <a:off x="4704394" y="4663166"/>
                <a:ext cx="1942731" cy="1256872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2" name="Rectangle 41">
              <a:extLst>
                <a:ext uri="{FF2B5EF4-FFF2-40B4-BE49-F238E27FC236}">
                  <a16:creationId xmlns:a16="http://schemas.microsoft.com/office/drawing/2014/main" id="{DA5649A3-189B-7E59-D04A-33EEFADE28D1}"/>
                </a:ext>
              </a:extLst>
            </xdr:cNvPr>
            <xdr:cNvSpPr/>
          </xdr:nvSpPr>
          <xdr:spPr>
            <a:xfrm rot="10800000">
              <a:off x="13302707" y="11895558"/>
              <a:ext cx="980077" cy="866483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F</a:t>
              </a:r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BF3508AE-6F2C-6FF1-6F47-35B6539F9A42}"/>
              </a:ext>
            </a:extLst>
          </xdr:cNvPr>
          <xdr:cNvGrpSpPr/>
        </xdr:nvGrpSpPr>
        <xdr:grpSpPr>
          <a:xfrm>
            <a:off x="7526753" y="3922986"/>
            <a:ext cx="1067835" cy="840489"/>
            <a:chOff x="7403600" y="19633475"/>
            <a:chExt cx="1431609" cy="2135415"/>
          </a:xfrm>
        </xdr:grpSpPr>
        <xdr:grpSp>
          <xdr:nvGrpSpPr>
            <xdr:cNvPr id="37" name="Group 36">
              <a:extLst>
                <a:ext uri="{FF2B5EF4-FFF2-40B4-BE49-F238E27FC236}">
                  <a16:creationId xmlns:a16="http://schemas.microsoft.com/office/drawing/2014/main" id="{9849EE8D-DF4C-04E3-0869-2FFC317FF767}"/>
                </a:ext>
              </a:extLst>
            </xdr:cNvPr>
            <xdr:cNvGrpSpPr/>
          </xdr:nvGrpSpPr>
          <xdr:grpSpPr>
            <a:xfrm>
              <a:off x="7403600" y="19633475"/>
              <a:ext cx="1431609" cy="2135415"/>
              <a:chOff x="6206067" y="1900075"/>
              <a:chExt cx="1303867" cy="1308790"/>
            </a:xfrm>
          </xdr:grpSpPr>
          <xdr:pic>
            <xdr:nvPicPr>
              <xdr:cNvPr id="39" name="Picture 38">
                <a:extLst>
                  <a:ext uri="{FF2B5EF4-FFF2-40B4-BE49-F238E27FC236}">
                    <a16:creationId xmlns:a16="http://schemas.microsoft.com/office/drawing/2014/main" id="{BA5E94AC-F0A3-39E0-A4A8-8D74FC3D172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06067" y="1904999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40" name="Rectangle 39">
                <a:extLst>
                  <a:ext uri="{FF2B5EF4-FFF2-40B4-BE49-F238E27FC236}">
                    <a16:creationId xmlns:a16="http://schemas.microsoft.com/office/drawing/2014/main" id="{3F7DF715-5141-1985-8A91-C66E91E9F932}"/>
                  </a:ext>
                </a:extLst>
              </xdr:cNvPr>
              <xdr:cNvSpPr/>
            </xdr:nvSpPr>
            <xdr:spPr>
              <a:xfrm>
                <a:off x="6206868" y="1900075"/>
                <a:ext cx="1303066" cy="1291865"/>
              </a:xfrm>
              <a:prstGeom prst="rect">
                <a:avLst/>
              </a:prstGeom>
              <a:solidFill>
                <a:schemeClr val="accent4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8" name="Rectangle 37">
              <a:extLst>
                <a:ext uri="{FF2B5EF4-FFF2-40B4-BE49-F238E27FC236}">
                  <a16:creationId xmlns:a16="http://schemas.microsoft.com/office/drawing/2014/main" id="{5671A548-2E61-C1FC-C3D3-BBD397633273}"/>
                </a:ext>
              </a:extLst>
            </xdr:cNvPr>
            <xdr:cNvSpPr/>
          </xdr:nvSpPr>
          <xdr:spPr>
            <a:xfrm rot="5400000">
              <a:off x="7482573" y="20578345"/>
              <a:ext cx="1347100" cy="424201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B</a:t>
              </a:r>
            </a:p>
          </xdr:txBody>
        </xdr:sp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7F3F88C0-70A5-E53A-E74D-0FE3CB62A17B}"/>
              </a:ext>
            </a:extLst>
          </xdr:cNvPr>
          <xdr:cNvGrpSpPr/>
        </xdr:nvGrpSpPr>
        <xdr:grpSpPr>
          <a:xfrm>
            <a:off x="8596149" y="3921453"/>
            <a:ext cx="810298" cy="438888"/>
            <a:chOff x="486956" y="1089253"/>
            <a:chExt cx="1152433" cy="1263876"/>
          </a:xfrm>
        </xdr:grpSpPr>
        <xdr:grpSp>
          <xdr:nvGrpSpPr>
            <xdr:cNvPr id="33" name="Group 32">
              <a:extLst>
                <a:ext uri="{FF2B5EF4-FFF2-40B4-BE49-F238E27FC236}">
                  <a16:creationId xmlns:a16="http://schemas.microsoft.com/office/drawing/2014/main" id="{DE2BB78D-741D-0481-3FDE-FE1CC3582938}"/>
                </a:ext>
              </a:extLst>
            </xdr:cNvPr>
            <xdr:cNvGrpSpPr/>
          </xdr:nvGrpSpPr>
          <xdr:grpSpPr>
            <a:xfrm>
              <a:off x="486956" y="1091837"/>
              <a:ext cx="1152433" cy="1261292"/>
              <a:chOff x="3253006" y="1912346"/>
              <a:chExt cx="1335928" cy="1313453"/>
            </a:xfrm>
            <a:solidFill>
              <a:schemeClr val="accent2">
                <a:lumMod val="75000"/>
              </a:schemeClr>
            </a:solidFill>
          </xdr:grpSpPr>
          <xdr:pic>
            <xdr:nvPicPr>
              <xdr:cNvPr id="35" name="Picture 34">
                <a:extLst>
                  <a:ext uri="{FF2B5EF4-FFF2-40B4-BE49-F238E27FC236}">
                    <a16:creationId xmlns:a16="http://schemas.microsoft.com/office/drawing/2014/main" id="{BAB06FE7-30C0-FE13-BE96-B443737E7E8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285067" y="1921933"/>
                <a:ext cx="1303866" cy="1303866"/>
              </a:xfrm>
              <a:prstGeom prst="rect">
                <a:avLst/>
              </a:prstGeom>
              <a:grpFill/>
            </xdr:spPr>
          </xdr:pic>
          <xdr:sp macro="" textlink="">
            <xdr:nvSpPr>
              <xdr:cNvPr id="36" name="Rectangle 35">
                <a:extLst>
                  <a:ext uri="{FF2B5EF4-FFF2-40B4-BE49-F238E27FC236}">
                    <a16:creationId xmlns:a16="http://schemas.microsoft.com/office/drawing/2014/main" id="{BF38D4BB-D209-F6C8-6BEF-01F4E781DC54}"/>
                  </a:ext>
                </a:extLst>
              </xdr:cNvPr>
              <xdr:cNvSpPr/>
            </xdr:nvSpPr>
            <xdr:spPr>
              <a:xfrm>
                <a:off x="3253006" y="1912346"/>
                <a:ext cx="1335928" cy="1284690"/>
              </a:xfrm>
              <a:prstGeom prst="rect">
                <a:avLst/>
              </a:prstGeom>
              <a:grpFill/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A09529A6-223B-20F2-3A4C-7D9535F5FCBD}"/>
                </a:ext>
              </a:extLst>
            </xdr:cNvPr>
            <xdr:cNvSpPr/>
          </xdr:nvSpPr>
          <xdr:spPr>
            <a:xfrm rot="5400000">
              <a:off x="464593" y="1503565"/>
              <a:ext cx="1163776" cy="335151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C</a:t>
              </a:r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11E84742-CE3B-FE39-7F6C-CC9D985077DC}"/>
              </a:ext>
            </a:extLst>
          </xdr:cNvPr>
          <xdr:cNvGrpSpPr/>
        </xdr:nvGrpSpPr>
        <xdr:grpSpPr>
          <a:xfrm>
            <a:off x="11771266" y="6084378"/>
            <a:ext cx="1279017" cy="846269"/>
            <a:chOff x="9052922" y="10123712"/>
            <a:chExt cx="2123440" cy="2153557"/>
          </a:xfrm>
        </xdr:grpSpPr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832CE4E2-A457-2755-67C9-2A578D9C357A}"/>
                </a:ext>
              </a:extLst>
            </xdr:cNvPr>
            <xdr:cNvGrpSpPr/>
          </xdr:nvGrpSpPr>
          <xdr:grpSpPr>
            <a:xfrm>
              <a:off x="9052922" y="10123712"/>
              <a:ext cx="2123440" cy="2153557"/>
              <a:chOff x="2166446" y="4637853"/>
              <a:chExt cx="1951819" cy="1297469"/>
            </a:xfrm>
          </xdr:grpSpPr>
          <xdr:pic>
            <xdr:nvPicPr>
              <xdr:cNvPr id="31" name="Picture 30">
                <a:extLst>
                  <a:ext uri="{FF2B5EF4-FFF2-40B4-BE49-F238E27FC236}">
                    <a16:creationId xmlns:a16="http://schemas.microsoft.com/office/drawing/2014/main" id="{7CB95684-CAEA-1CFC-29A7-0CE0EB58B37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2183009" y="4669512"/>
                <a:ext cx="1935256" cy="1265810"/>
              </a:xfrm>
              <a:prstGeom prst="rect">
                <a:avLst/>
              </a:prstGeom>
            </xdr:spPr>
          </xdr:pic>
          <xdr:sp macro="" textlink="">
            <xdr:nvSpPr>
              <xdr:cNvPr id="32" name="Rectangle 31">
                <a:extLst>
                  <a:ext uri="{FF2B5EF4-FFF2-40B4-BE49-F238E27FC236}">
                    <a16:creationId xmlns:a16="http://schemas.microsoft.com/office/drawing/2014/main" id="{1B4B4993-37B4-1B52-D023-4DACAE52E344}"/>
                  </a:ext>
                </a:extLst>
              </xdr:cNvPr>
              <xdr:cNvSpPr/>
            </xdr:nvSpPr>
            <xdr:spPr>
              <a:xfrm>
                <a:off x="2166446" y="4637853"/>
                <a:ext cx="1943332" cy="1291924"/>
              </a:xfrm>
              <a:prstGeom prst="rect">
                <a:avLst/>
              </a:prstGeom>
              <a:solidFill>
                <a:schemeClr val="accent6">
                  <a:lumMod val="20000"/>
                  <a:lumOff val="8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0" name="Rectangle 29">
              <a:extLst>
                <a:ext uri="{FF2B5EF4-FFF2-40B4-BE49-F238E27FC236}">
                  <a16:creationId xmlns:a16="http://schemas.microsoft.com/office/drawing/2014/main" id="{08A1C1D5-5AF3-6F2F-8F5D-BB43F77EBD6C}"/>
                </a:ext>
              </a:extLst>
            </xdr:cNvPr>
            <xdr:cNvSpPr/>
          </xdr:nvSpPr>
          <xdr:spPr>
            <a:xfrm rot="5400000">
              <a:off x="9250330" y="10643569"/>
              <a:ext cx="1753665" cy="1060009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E</a:t>
              </a: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04D9C531-B545-21CB-B5F5-FF49221836F0}"/>
              </a:ext>
            </a:extLst>
          </xdr:cNvPr>
          <xdr:cNvGrpSpPr/>
        </xdr:nvGrpSpPr>
        <xdr:grpSpPr>
          <a:xfrm>
            <a:off x="10459647" y="6016460"/>
            <a:ext cx="1308001" cy="479268"/>
            <a:chOff x="9071066" y="14493853"/>
            <a:chExt cx="1330960" cy="1400860"/>
          </a:xfrm>
        </xdr:grpSpPr>
        <xdr:grpSp>
          <xdr:nvGrpSpPr>
            <xdr:cNvPr id="25" name="Group 24">
              <a:extLst>
                <a:ext uri="{FF2B5EF4-FFF2-40B4-BE49-F238E27FC236}">
                  <a16:creationId xmlns:a16="http://schemas.microsoft.com/office/drawing/2014/main" id="{755B4A60-10D6-D12E-061C-9AFD6064B6EC}"/>
                </a:ext>
              </a:extLst>
            </xdr:cNvPr>
            <xdr:cNvGrpSpPr/>
          </xdr:nvGrpSpPr>
          <xdr:grpSpPr>
            <a:xfrm>
              <a:off x="9071066" y="14609355"/>
              <a:ext cx="1330960" cy="1258388"/>
              <a:chOff x="4656034" y="4721593"/>
              <a:chExt cx="1973588" cy="1275182"/>
            </a:xfrm>
          </xdr:grpSpPr>
          <xdr:pic>
            <xdr:nvPicPr>
              <xdr:cNvPr id="27" name="Picture 26">
                <a:extLst>
                  <a:ext uri="{FF2B5EF4-FFF2-40B4-BE49-F238E27FC236}">
                    <a16:creationId xmlns:a16="http://schemas.microsoft.com/office/drawing/2014/main" id="{1990D862-8D14-6B20-00F1-A6F4752AB62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4697150" y="4730964"/>
                <a:ext cx="1932472" cy="1265810"/>
              </a:xfrm>
              <a:prstGeom prst="rect">
                <a:avLst/>
              </a:prstGeom>
            </xdr:spPr>
          </xdr:pic>
          <xdr:sp macro="" textlink="">
            <xdr:nvSpPr>
              <xdr:cNvPr id="28" name="Rectangle 27">
                <a:extLst>
                  <a:ext uri="{FF2B5EF4-FFF2-40B4-BE49-F238E27FC236}">
                    <a16:creationId xmlns:a16="http://schemas.microsoft.com/office/drawing/2014/main" id="{4C1EDAC2-8E36-EA28-060E-0768CA3C074A}"/>
                  </a:ext>
                </a:extLst>
              </xdr:cNvPr>
              <xdr:cNvSpPr/>
            </xdr:nvSpPr>
            <xdr:spPr>
              <a:xfrm>
                <a:off x="4656034" y="4721593"/>
                <a:ext cx="1973588" cy="1275182"/>
              </a:xfrm>
              <a:prstGeom prst="rect">
                <a:avLst/>
              </a:prstGeom>
              <a:solidFill>
                <a:schemeClr val="accent3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FEE446C7-6EFD-9102-346B-E31C48E32994}"/>
                </a:ext>
              </a:extLst>
            </xdr:cNvPr>
            <xdr:cNvSpPr/>
          </xdr:nvSpPr>
          <xdr:spPr>
            <a:xfrm rot="5400000">
              <a:off x="9043009" y="15067404"/>
              <a:ext cx="1400860" cy="25375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G</a:t>
              </a:r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2C83EF47-8473-AD98-1AD8-68DFC8EF9B59}"/>
              </a:ext>
            </a:extLst>
          </xdr:cNvPr>
          <xdr:cNvGrpSpPr/>
        </xdr:nvGrpSpPr>
        <xdr:grpSpPr>
          <a:xfrm>
            <a:off x="9884303" y="8411296"/>
            <a:ext cx="1234598" cy="438214"/>
            <a:chOff x="1341121" y="18600490"/>
            <a:chExt cx="1087120" cy="1203280"/>
          </a:xfrm>
        </xdr:grpSpPr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8EE63091-C957-4198-1350-B66C99111913}"/>
                </a:ext>
              </a:extLst>
            </xdr:cNvPr>
            <xdr:cNvGrpSpPr/>
          </xdr:nvGrpSpPr>
          <xdr:grpSpPr>
            <a:xfrm>
              <a:off x="1341121" y="18600490"/>
              <a:ext cx="1087120" cy="1201349"/>
              <a:chOff x="288607" y="2746443"/>
              <a:chExt cx="1672192" cy="820118"/>
            </a:xfrm>
          </xdr:grpSpPr>
          <xdr:pic>
            <xdr:nvPicPr>
              <xdr:cNvPr id="23" name="Picture 22">
                <a:extLst>
                  <a:ext uri="{FF2B5EF4-FFF2-40B4-BE49-F238E27FC236}">
                    <a16:creationId xmlns:a16="http://schemas.microsoft.com/office/drawing/2014/main" id="{FAF6592A-2B07-BBC3-17C0-3332A83071D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96630" y="27464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24" name="Rectangle 23">
                <a:extLst>
                  <a:ext uri="{FF2B5EF4-FFF2-40B4-BE49-F238E27FC236}">
                    <a16:creationId xmlns:a16="http://schemas.microsoft.com/office/drawing/2014/main" id="{31441EC1-7787-9303-FA31-76FFE55ACE86}"/>
                  </a:ext>
                </a:extLst>
              </xdr:cNvPr>
              <xdr:cNvSpPr/>
            </xdr:nvSpPr>
            <xdr:spPr>
              <a:xfrm>
                <a:off x="288607" y="2748129"/>
                <a:ext cx="1672192" cy="797625"/>
              </a:xfrm>
              <a:prstGeom prst="rect">
                <a:avLst/>
              </a:prstGeom>
              <a:solidFill>
                <a:schemeClr val="accent6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FD1E7FF8-F227-F415-8BC5-4754027C3D22}"/>
                </a:ext>
              </a:extLst>
            </xdr:cNvPr>
            <xdr:cNvSpPr/>
          </xdr:nvSpPr>
          <xdr:spPr>
            <a:xfrm rot="5400000">
              <a:off x="1288390" y="19120845"/>
              <a:ext cx="1172259" cy="193592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K</a:t>
              </a:r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C5DE7031-FE2A-7565-E9E5-B9D59E9B3B9A}"/>
              </a:ext>
            </a:extLst>
          </xdr:cNvPr>
          <xdr:cNvGrpSpPr/>
        </xdr:nvGrpSpPr>
        <xdr:grpSpPr>
          <a:xfrm>
            <a:off x="8594837" y="4357372"/>
            <a:ext cx="821598" cy="413067"/>
            <a:chOff x="3647441" y="19785639"/>
            <a:chExt cx="1168400" cy="1265881"/>
          </a:xfrm>
        </xdr:grpSpPr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28C85C9F-C217-77FD-D420-A6A32308AD01}"/>
                </a:ext>
              </a:extLst>
            </xdr:cNvPr>
            <xdr:cNvGrpSpPr/>
          </xdr:nvGrpSpPr>
          <xdr:grpSpPr>
            <a:xfrm>
              <a:off x="3647441" y="19785639"/>
              <a:ext cx="1168400" cy="1265881"/>
              <a:chOff x="3262466" y="1921933"/>
              <a:chExt cx="1326467" cy="1303866"/>
            </a:xfrm>
          </xdr:grpSpPr>
          <xdr:pic>
            <xdr:nvPicPr>
              <xdr:cNvPr id="19" name="Picture 18">
                <a:extLst>
                  <a:ext uri="{FF2B5EF4-FFF2-40B4-BE49-F238E27FC236}">
                    <a16:creationId xmlns:a16="http://schemas.microsoft.com/office/drawing/2014/main" id="{04C445F8-6C78-3663-C0B5-9B0A27600B5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285067" y="1921933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20" name="Rectangle 19">
                <a:extLst>
                  <a:ext uri="{FF2B5EF4-FFF2-40B4-BE49-F238E27FC236}">
                    <a16:creationId xmlns:a16="http://schemas.microsoft.com/office/drawing/2014/main" id="{65F79D0E-37F2-BA83-58E6-4A8A863A4B6C}"/>
                  </a:ext>
                </a:extLst>
              </xdr:cNvPr>
              <xdr:cNvSpPr/>
            </xdr:nvSpPr>
            <xdr:spPr>
              <a:xfrm>
                <a:off x="3262466" y="1928155"/>
                <a:ext cx="1326465" cy="1297644"/>
              </a:xfrm>
              <a:prstGeom prst="rect">
                <a:avLst/>
              </a:prstGeom>
              <a:solidFill>
                <a:schemeClr val="bg1">
                  <a:lumMod val="6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A9FA3EF2-A37F-C57F-2ECE-65A086323F1A}"/>
                </a:ext>
              </a:extLst>
            </xdr:cNvPr>
            <xdr:cNvSpPr/>
          </xdr:nvSpPr>
          <xdr:spPr>
            <a:xfrm rot="5400000">
              <a:off x="3622532" y="20237238"/>
              <a:ext cx="1116617" cy="338249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A</a:t>
              </a:r>
            </a:p>
          </xdr:txBody>
        </xdr:sp>
      </xdr:grp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35944</xdr:colOff>
      <xdr:row>14</xdr:row>
      <xdr:rowOff>44297</xdr:rowOff>
    </xdr:from>
    <xdr:to>
      <xdr:col>28</xdr:col>
      <xdr:colOff>340395</xdr:colOff>
      <xdr:row>28</xdr:row>
      <xdr:rowOff>182702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8A21889-069E-2443-86E3-6A7188A1FC98}"/>
            </a:ext>
          </a:extLst>
        </xdr:cNvPr>
        <xdr:cNvGrpSpPr/>
      </xdr:nvGrpSpPr>
      <xdr:grpSpPr>
        <a:xfrm rot="5400000">
          <a:off x="5881892" y="5664292"/>
          <a:ext cx="5673688" cy="5504263"/>
          <a:chOff x="7526753" y="3921453"/>
          <a:chExt cx="5673688" cy="550426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E2919AA0-A65F-F41E-9D2C-8E05F5239121}"/>
              </a:ext>
            </a:extLst>
          </xdr:cNvPr>
          <xdr:cNvGrpSpPr/>
        </xdr:nvGrpSpPr>
        <xdr:grpSpPr>
          <a:xfrm>
            <a:off x="9483451" y="5178955"/>
            <a:ext cx="968779" cy="1331869"/>
            <a:chOff x="471714" y="5025569"/>
            <a:chExt cx="2313215" cy="2440216"/>
          </a:xfrm>
        </xdr:grpSpPr>
        <xdr:grpSp>
          <xdr:nvGrpSpPr>
            <xdr:cNvPr id="65" name="Group 64">
              <a:extLst>
                <a:ext uri="{FF2B5EF4-FFF2-40B4-BE49-F238E27FC236}">
                  <a16:creationId xmlns:a16="http://schemas.microsoft.com/office/drawing/2014/main" id="{9611039A-763F-98B0-5BD9-36C2A6C6D1D1}"/>
                </a:ext>
              </a:extLst>
            </xdr:cNvPr>
            <xdr:cNvGrpSpPr/>
          </xdr:nvGrpSpPr>
          <xdr:grpSpPr>
            <a:xfrm>
              <a:off x="471714" y="5025569"/>
              <a:ext cx="2313215" cy="2440216"/>
              <a:chOff x="1803360" y="3495864"/>
              <a:chExt cx="3091221" cy="954136"/>
            </a:xfrm>
          </xdr:grpSpPr>
          <xdr:pic>
            <xdr:nvPicPr>
              <xdr:cNvPr id="67" name="Picture 66">
                <a:extLst>
                  <a:ext uri="{FF2B5EF4-FFF2-40B4-BE49-F238E27FC236}">
                    <a16:creationId xmlns:a16="http://schemas.microsoft.com/office/drawing/2014/main" id="{D54DD745-2FF5-FF3E-2D89-E64FB8C4EE9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813870" y="3496103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68" name="Rectangle 67">
                <a:extLst>
                  <a:ext uri="{FF2B5EF4-FFF2-40B4-BE49-F238E27FC236}">
                    <a16:creationId xmlns:a16="http://schemas.microsoft.com/office/drawing/2014/main" id="{67365DBC-8BA3-919E-CD0E-669F3D76CE38}"/>
                  </a:ext>
                </a:extLst>
              </xdr:cNvPr>
              <xdr:cNvSpPr/>
            </xdr:nvSpPr>
            <xdr:spPr>
              <a:xfrm>
                <a:off x="1803360" y="3495864"/>
                <a:ext cx="3091221" cy="932854"/>
              </a:xfrm>
              <a:prstGeom prst="rect">
                <a:avLst/>
              </a:prstGeom>
              <a:solidFill>
                <a:srgbClr val="000000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B5D588E-CFDC-6B4F-00F3-D38CCBC8C12D}"/>
                </a:ext>
              </a:extLst>
            </xdr:cNvPr>
            <xdr:cNvSpPr txBox="1"/>
          </xdr:nvSpPr>
          <xdr:spPr>
            <a:xfrm rot="16200000">
              <a:off x="1191571" y="5500989"/>
              <a:ext cx="619500" cy="1449666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clip" horzOverflow="clip" vert="horz" wrap="square" lIns="50800" tIns="50800" rIns="50800" bIns="50800" numCol="1" spcCol="38100" rtlCol="0" anchor="t">
              <a:spAutoFit/>
            </a:bodyPr>
            <a:lstStyle/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I</a:t>
              </a:r>
            </a:p>
          </xdr:txBody>
        </xdr:sp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A7C1F6F3-7173-2828-73CB-21DB90970475}"/>
              </a:ext>
            </a:extLst>
          </xdr:cNvPr>
          <xdr:cNvGrpSpPr/>
        </xdr:nvGrpSpPr>
        <xdr:grpSpPr>
          <a:xfrm>
            <a:off x="10419235" y="4495269"/>
            <a:ext cx="2047070" cy="1604019"/>
            <a:chOff x="7415704" y="5252355"/>
            <a:chExt cx="3184873" cy="3056534"/>
          </a:xfrm>
        </xdr:grpSpPr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9F1B2EE7-C297-73B9-7B37-47E5C6BBC1D4}"/>
                </a:ext>
              </a:extLst>
            </xdr:cNvPr>
            <xdr:cNvGrpSpPr/>
          </xdr:nvGrpSpPr>
          <xdr:grpSpPr>
            <a:xfrm>
              <a:off x="7415704" y="5252355"/>
              <a:ext cx="3184873" cy="3056534"/>
              <a:chOff x="5969000" y="3563312"/>
              <a:chExt cx="3056466" cy="955052"/>
            </a:xfrm>
          </xdr:grpSpPr>
          <xdr:pic>
            <xdr:nvPicPr>
              <xdr:cNvPr id="63" name="Picture 62">
                <a:extLst>
                  <a:ext uri="{FF2B5EF4-FFF2-40B4-BE49-F238E27FC236}">
                    <a16:creationId xmlns:a16="http://schemas.microsoft.com/office/drawing/2014/main" id="{9866F093-88F0-C2D7-86F9-B9939E9FE3E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5969000" y="3564467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64" name="Rectangle 63">
                <a:extLst>
                  <a:ext uri="{FF2B5EF4-FFF2-40B4-BE49-F238E27FC236}">
                    <a16:creationId xmlns:a16="http://schemas.microsoft.com/office/drawing/2014/main" id="{EA9B706F-6E97-E25E-A817-A5982E52BB88}"/>
                  </a:ext>
                </a:extLst>
              </xdr:cNvPr>
              <xdr:cNvSpPr/>
            </xdr:nvSpPr>
            <xdr:spPr>
              <a:xfrm>
                <a:off x="5982239" y="3563312"/>
                <a:ext cx="3038286" cy="926876"/>
              </a:xfrm>
              <a:prstGeom prst="rect">
                <a:avLst/>
              </a:prstGeom>
              <a:solidFill>
                <a:schemeClr val="accent1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CF4F476D-BBB1-2502-EB49-BC535891C2EC}"/>
                </a:ext>
              </a:extLst>
            </xdr:cNvPr>
            <xdr:cNvSpPr/>
          </xdr:nvSpPr>
          <xdr:spPr>
            <a:xfrm rot="16200000">
              <a:off x="8075766" y="5979402"/>
              <a:ext cx="1755468" cy="1004271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7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J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81A8EEA9-0DA2-91A3-87C2-2F3590A3D905}"/>
              </a:ext>
            </a:extLst>
          </xdr:cNvPr>
          <xdr:cNvGrpSpPr/>
        </xdr:nvGrpSpPr>
        <xdr:grpSpPr>
          <a:xfrm rot="5400000">
            <a:off x="9626308" y="6023055"/>
            <a:ext cx="1020663" cy="1963306"/>
            <a:chOff x="4236358" y="10468429"/>
            <a:chExt cx="2450052" cy="2540000"/>
          </a:xfrm>
        </xdr:grpSpPr>
        <xdr:grpSp>
          <xdr:nvGrpSpPr>
            <xdr:cNvPr id="57" name="Group 56">
              <a:extLst>
                <a:ext uri="{FF2B5EF4-FFF2-40B4-BE49-F238E27FC236}">
                  <a16:creationId xmlns:a16="http://schemas.microsoft.com/office/drawing/2014/main" id="{3C7433A7-7FFB-E8D1-00C2-09BBFF20E480}"/>
                </a:ext>
              </a:extLst>
            </xdr:cNvPr>
            <xdr:cNvGrpSpPr/>
          </xdr:nvGrpSpPr>
          <xdr:grpSpPr>
            <a:xfrm>
              <a:off x="4236358" y="10468429"/>
              <a:ext cx="2450052" cy="2540000"/>
              <a:chOff x="5969000" y="3564467"/>
              <a:chExt cx="3056466" cy="953897"/>
            </a:xfrm>
          </xdr:grpSpPr>
          <xdr:pic>
            <xdr:nvPicPr>
              <xdr:cNvPr id="59" name="Picture 58">
                <a:extLst>
                  <a:ext uri="{FF2B5EF4-FFF2-40B4-BE49-F238E27FC236}">
                    <a16:creationId xmlns:a16="http://schemas.microsoft.com/office/drawing/2014/main" id="{EADA32E0-CB97-E902-DE45-4079EC2F9C1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5969000" y="3564467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60" name="Rectangle 59">
                <a:extLst>
                  <a:ext uri="{FF2B5EF4-FFF2-40B4-BE49-F238E27FC236}">
                    <a16:creationId xmlns:a16="http://schemas.microsoft.com/office/drawing/2014/main" id="{347B4100-8265-AA94-E991-B3937F2F584E}"/>
                  </a:ext>
                </a:extLst>
              </xdr:cNvPr>
              <xdr:cNvSpPr/>
            </xdr:nvSpPr>
            <xdr:spPr>
              <a:xfrm>
                <a:off x="5980316" y="3564467"/>
                <a:ext cx="3044193" cy="926643"/>
              </a:xfrm>
              <a:prstGeom prst="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AF964212-13EA-64E7-6830-4B7133839869}"/>
                </a:ext>
              </a:extLst>
            </xdr:cNvPr>
            <xdr:cNvSpPr/>
          </xdr:nvSpPr>
          <xdr:spPr>
            <a:xfrm rot="10800000">
              <a:off x="4952998" y="11146427"/>
              <a:ext cx="952499" cy="948146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5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H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23888F47-E20A-3605-B47D-66A783547C66}"/>
              </a:ext>
            </a:extLst>
          </xdr:cNvPr>
          <xdr:cNvGrpSpPr/>
        </xdr:nvGrpSpPr>
        <xdr:grpSpPr>
          <a:xfrm>
            <a:off x="9488713" y="7523614"/>
            <a:ext cx="1628861" cy="900057"/>
            <a:chOff x="414384" y="10664222"/>
            <a:chExt cx="2616365" cy="2538697"/>
          </a:xfrm>
        </xdr:grpSpPr>
        <xdr:grpSp>
          <xdr:nvGrpSpPr>
            <xdr:cNvPr id="53" name="Group 52">
              <a:extLst>
                <a:ext uri="{FF2B5EF4-FFF2-40B4-BE49-F238E27FC236}">
                  <a16:creationId xmlns:a16="http://schemas.microsoft.com/office/drawing/2014/main" id="{E23D0B14-43BC-F063-0950-8EEC2AFDA176}"/>
                </a:ext>
              </a:extLst>
            </xdr:cNvPr>
            <xdr:cNvGrpSpPr/>
          </xdr:nvGrpSpPr>
          <xdr:grpSpPr>
            <a:xfrm>
              <a:off x="414384" y="10664222"/>
              <a:ext cx="2616365" cy="2538697"/>
              <a:chOff x="279697" y="1629743"/>
              <a:chExt cx="1648539" cy="820118"/>
            </a:xfrm>
          </xdr:grpSpPr>
          <xdr:pic>
            <xdr:nvPicPr>
              <xdr:cNvPr id="55" name="Picture 54">
                <a:extLst>
                  <a:ext uri="{FF2B5EF4-FFF2-40B4-BE49-F238E27FC236}">
                    <a16:creationId xmlns:a16="http://schemas.microsoft.com/office/drawing/2014/main" id="{3E35D431-073A-D304-AFBB-20857F02F23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79697" y="16297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56" name="Rectangle 55">
                <a:extLst>
                  <a:ext uri="{FF2B5EF4-FFF2-40B4-BE49-F238E27FC236}">
                    <a16:creationId xmlns:a16="http://schemas.microsoft.com/office/drawing/2014/main" id="{0FC161A2-1679-2C63-1D71-15F475B9966A}"/>
                  </a:ext>
                </a:extLst>
              </xdr:cNvPr>
              <xdr:cNvSpPr/>
            </xdr:nvSpPr>
            <xdr:spPr>
              <a:xfrm>
                <a:off x="291292" y="1633012"/>
                <a:ext cx="1623386" cy="790019"/>
              </a:xfrm>
              <a:prstGeom prst="rect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B9D53864-F0EB-AAEC-1CBC-3176DEE6AA58}"/>
                </a:ext>
              </a:extLst>
            </xdr:cNvPr>
            <xdr:cNvSpPr/>
          </xdr:nvSpPr>
          <xdr:spPr>
            <a:xfrm rot="16200000">
              <a:off x="830648" y="11387561"/>
              <a:ext cx="1789837" cy="657470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L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5864287B-F2C0-2EE2-ADA3-8178ECBF2D44}"/>
              </a:ext>
            </a:extLst>
          </xdr:cNvPr>
          <xdr:cNvGrpSpPr/>
        </xdr:nvGrpSpPr>
        <xdr:grpSpPr>
          <a:xfrm>
            <a:off x="11135984" y="8122644"/>
            <a:ext cx="2064457" cy="1303072"/>
            <a:chOff x="2558143" y="14769568"/>
            <a:chExt cx="2603500" cy="3264432"/>
          </a:xfrm>
        </xdr:grpSpPr>
        <xdr:grpSp>
          <xdr:nvGrpSpPr>
            <xdr:cNvPr id="49" name="Group 48">
              <a:extLst>
                <a:ext uri="{FF2B5EF4-FFF2-40B4-BE49-F238E27FC236}">
                  <a16:creationId xmlns:a16="http://schemas.microsoft.com/office/drawing/2014/main" id="{C4F15C4B-BD43-1E29-1979-5C766651198F}"/>
                </a:ext>
              </a:extLst>
            </xdr:cNvPr>
            <xdr:cNvGrpSpPr/>
          </xdr:nvGrpSpPr>
          <xdr:grpSpPr>
            <a:xfrm>
              <a:off x="2558143" y="14769568"/>
              <a:ext cx="2603500" cy="3264432"/>
              <a:chOff x="278210" y="2746443"/>
              <a:chExt cx="1666959" cy="820118"/>
            </a:xfrm>
          </xdr:grpSpPr>
          <xdr:pic>
            <xdr:nvPicPr>
              <xdr:cNvPr id="51" name="Picture 50">
                <a:extLst>
                  <a:ext uri="{FF2B5EF4-FFF2-40B4-BE49-F238E27FC236}">
                    <a16:creationId xmlns:a16="http://schemas.microsoft.com/office/drawing/2014/main" id="{673AADF2-A974-ED48-68CD-9FBBD3BCEB3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96630" y="27464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52" name="Rectangle 51">
                <a:extLst>
                  <a:ext uri="{FF2B5EF4-FFF2-40B4-BE49-F238E27FC236}">
                    <a16:creationId xmlns:a16="http://schemas.microsoft.com/office/drawing/2014/main" id="{2547D97D-5C58-75E0-2F4A-DF90F9ADED41}"/>
                  </a:ext>
                </a:extLst>
              </xdr:cNvPr>
              <xdr:cNvSpPr/>
            </xdr:nvSpPr>
            <xdr:spPr>
              <a:xfrm>
                <a:off x="278210" y="2748400"/>
                <a:ext cx="1661150" cy="804487"/>
              </a:xfrm>
              <a:prstGeom prst="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BD799E41-442A-BA43-F18D-A6DE78F8AB7B}"/>
                </a:ext>
              </a:extLst>
            </xdr:cNvPr>
            <xdr:cNvSpPr/>
          </xdr:nvSpPr>
          <xdr:spPr>
            <a:xfrm rot="16200000">
              <a:off x="2976101" y="15972978"/>
              <a:ext cx="1531728" cy="429975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M</a:t>
              </a: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F7E5D958-2327-E320-2B79-851242AF4B4A}"/>
              </a:ext>
            </a:extLst>
          </xdr:cNvPr>
          <xdr:cNvGrpSpPr/>
        </xdr:nvGrpSpPr>
        <xdr:grpSpPr>
          <a:xfrm>
            <a:off x="9401935" y="3928477"/>
            <a:ext cx="1068405" cy="1250186"/>
            <a:chOff x="3613420" y="1115787"/>
            <a:chExt cx="1956428" cy="2485569"/>
          </a:xfrm>
        </xdr:grpSpPr>
        <xdr:grpSp>
          <xdr:nvGrpSpPr>
            <xdr:cNvPr id="45" name="Group 44">
              <a:extLst>
                <a:ext uri="{FF2B5EF4-FFF2-40B4-BE49-F238E27FC236}">
                  <a16:creationId xmlns:a16="http://schemas.microsoft.com/office/drawing/2014/main" id="{207DD189-884A-EA5F-BDBF-239C6DB61057}"/>
                </a:ext>
              </a:extLst>
            </xdr:cNvPr>
            <xdr:cNvGrpSpPr/>
          </xdr:nvGrpSpPr>
          <xdr:grpSpPr>
            <a:xfrm>
              <a:off x="3613420" y="1115787"/>
              <a:ext cx="1956428" cy="2485569"/>
              <a:chOff x="6169895" y="1900224"/>
              <a:chExt cx="1340038" cy="1308641"/>
            </a:xfrm>
          </xdr:grpSpPr>
          <xdr:pic>
            <xdr:nvPicPr>
              <xdr:cNvPr id="47" name="Picture 46">
                <a:extLst>
                  <a:ext uri="{FF2B5EF4-FFF2-40B4-BE49-F238E27FC236}">
                    <a16:creationId xmlns:a16="http://schemas.microsoft.com/office/drawing/2014/main" id="{48F3C3A4-8661-12C0-49C4-04A02AF51F8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06067" y="1904999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48" name="Rectangle 47">
                <a:extLst>
                  <a:ext uri="{FF2B5EF4-FFF2-40B4-BE49-F238E27FC236}">
                    <a16:creationId xmlns:a16="http://schemas.microsoft.com/office/drawing/2014/main" id="{B8901A48-D4C5-B357-151E-A783EF59FC43}"/>
                  </a:ext>
                </a:extLst>
              </xdr:cNvPr>
              <xdr:cNvSpPr/>
            </xdr:nvSpPr>
            <xdr:spPr>
              <a:xfrm>
                <a:off x="6169895" y="1900224"/>
                <a:ext cx="1304812" cy="1294313"/>
              </a:xfrm>
              <a:prstGeom prst="rect">
                <a:avLst/>
              </a:prstGeom>
              <a:solidFill>
                <a:schemeClr val="bg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C9280DAC-F5F9-6C17-6111-085F9179C3B0}"/>
                </a:ext>
              </a:extLst>
            </xdr:cNvPr>
            <xdr:cNvSpPr/>
          </xdr:nvSpPr>
          <xdr:spPr>
            <a:xfrm rot="16200000">
              <a:off x="4134747" y="1971367"/>
              <a:ext cx="965218" cy="729059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D</a:t>
              </a:r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5B75090D-FADA-7F1F-4429-A6ED128F7BC5}"/>
              </a:ext>
            </a:extLst>
          </xdr:cNvPr>
          <xdr:cNvGrpSpPr/>
        </xdr:nvGrpSpPr>
        <xdr:grpSpPr>
          <a:xfrm rot="16200000">
            <a:off x="10630910" y="6985709"/>
            <a:ext cx="1645710" cy="648274"/>
            <a:chOff x="12690315" y="11131003"/>
            <a:chExt cx="2052208" cy="2359298"/>
          </a:xfrm>
        </xdr:grpSpPr>
        <xdr:grpSp>
          <xdr:nvGrpSpPr>
            <xdr:cNvPr id="41" name="Group 40">
              <a:extLst>
                <a:ext uri="{FF2B5EF4-FFF2-40B4-BE49-F238E27FC236}">
                  <a16:creationId xmlns:a16="http://schemas.microsoft.com/office/drawing/2014/main" id="{7E3D3B77-5A77-4318-EFAB-BB3173C152A8}"/>
                </a:ext>
              </a:extLst>
            </xdr:cNvPr>
            <xdr:cNvGrpSpPr/>
          </xdr:nvGrpSpPr>
          <xdr:grpSpPr>
            <a:xfrm>
              <a:off x="12690315" y="11131003"/>
              <a:ext cx="2052208" cy="2359298"/>
              <a:chOff x="4697150" y="4663166"/>
              <a:chExt cx="1949975" cy="1266768"/>
            </a:xfrm>
          </xdr:grpSpPr>
          <xdr:pic>
            <xdr:nvPicPr>
              <xdr:cNvPr id="43" name="Picture 42">
                <a:extLst>
                  <a:ext uri="{FF2B5EF4-FFF2-40B4-BE49-F238E27FC236}">
                    <a16:creationId xmlns:a16="http://schemas.microsoft.com/office/drawing/2014/main" id="{1CC108BD-DB88-215F-A67A-A548D9B5CAC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4697150" y="4664124"/>
                <a:ext cx="1932472" cy="1265810"/>
              </a:xfrm>
              <a:prstGeom prst="rect">
                <a:avLst/>
              </a:prstGeom>
            </xdr:spPr>
          </xdr:pic>
          <xdr:sp macro="" textlink="">
            <xdr:nvSpPr>
              <xdr:cNvPr id="44" name="Rectangle 43">
                <a:extLst>
                  <a:ext uri="{FF2B5EF4-FFF2-40B4-BE49-F238E27FC236}">
                    <a16:creationId xmlns:a16="http://schemas.microsoft.com/office/drawing/2014/main" id="{988D6233-A2B7-4DA9-ED16-2F6E718F8949}"/>
                  </a:ext>
                </a:extLst>
              </xdr:cNvPr>
              <xdr:cNvSpPr/>
            </xdr:nvSpPr>
            <xdr:spPr>
              <a:xfrm>
                <a:off x="4704394" y="4663166"/>
                <a:ext cx="1942731" cy="1256872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2" name="Rectangle 41">
              <a:extLst>
                <a:ext uri="{FF2B5EF4-FFF2-40B4-BE49-F238E27FC236}">
                  <a16:creationId xmlns:a16="http://schemas.microsoft.com/office/drawing/2014/main" id="{AF0E5E7E-2DF4-FB56-99D0-BDC274403A4B}"/>
                </a:ext>
              </a:extLst>
            </xdr:cNvPr>
            <xdr:cNvSpPr/>
          </xdr:nvSpPr>
          <xdr:spPr>
            <a:xfrm>
              <a:off x="13302707" y="11895558"/>
              <a:ext cx="980077" cy="866483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F</a:t>
              </a:r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DFF35270-4011-01D1-0AD9-ABC995FCD322}"/>
              </a:ext>
            </a:extLst>
          </xdr:cNvPr>
          <xdr:cNvGrpSpPr/>
        </xdr:nvGrpSpPr>
        <xdr:grpSpPr>
          <a:xfrm>
            <a:off x="7526753" y="3922986"/>
            <a:ext cx="1067835" cy="840489"/>
            <a:chOff x="7403600" y="19633475"/>
            <a:chExt cx="1431609" cy="2135415"/>
          </a:xfrm>
        </xdr:grpSpPr>
        <xdr:grpSp>
          <xdr:nvGrpSpPr>
            <xdr:cNvPr id="37" name="Group 36">
              <a:extLst>
                <a:ext uri="{FF2B5EF4-FFF2-40B4-BE49-F238E27FC236}">
                  <a16:creationId xmlns:a16="http://schemas.microsoft.com/office/drawing/2014/main" id="{525065A6-1DB4-B244-88F1-D88E98CE51A5}"/>
                </a:ext>
              </a:extLst>
            </xdr:cNvPr>
            <xdr:cNvGrpSpPr/>
          </xdr:nvGrpSpPr>
          <xdr:grpSpPr>
            <a:xfrm>
              <a:off x="7403600" y="19633475"/>
              <a:ext cx="1431609" cy="2135415"/>
              <a:chOff x="6206067" y="1900075"/>
              <a:chExt cx="1303867" cy="1308790"/>
            </a:xfrm>
          </xdr:grpSpPr>
          <xdr:pic>
            <xdr:nvPicPr>
              <xdr:cNvPr id="39" name="Picture 38">
                <a:extLst>
                  <a:ext uri="{FF2B5EF4-FFF2-40B4-BE49-F238E27FC236}">
                    <a16:creationId xmlns:a16="http://schemas.microsoft.com/office/drawing/2014/main" id="{17061603-194E-0566-9869-7ED94AC51B3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06067" y="1904999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40" name="Rectangle 39">
                <a:extLst>
                  <a:ext uri="{FF2B5EF4-FFF2-40B4-BE49-F238E27FC236}">
                    <a16:creationId xmlns:a16="http://schemas.microsoft.com/office/drawing/2014/main" id="{E50EB3BF-0367-FF6C-011A-4ABB4D9C5E16}"/>
                  </a:ext>
                </a:extLst>
              </xdr:cNvPr>
              <xdr:cNvSpPr/>
            </xdr:nvSpPr>
            <xdr:spPr>
              <a:xfrm>
                <a:off x="6206868" y="1900075"/>
                <a:ext cx="1303066" cy="1291865"/>
              </a:xfrm>
              <a:prstGeom prst="rect">
                <a:avLst/>
              </a:prstGeom>
              <a:solidFill>
                <a:schemeClr val="accent4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8" name="Rectangle 37">
              <a:extLst>
                <a:ext uri="{FF2B5EF4-FFF2-40B4-BE49-F238E27FC236}">
                  <a16:creationId xmlns:a16="http://schemas.microsoft.com/office/drawing/2014/main" id="{321D5F94-C1B0-DEA5-40B3-60D35625F675}"/>
                </a:ext>
              </a:extLst>
            </xdr:cNvPr>
            <xdr:cNvSpPr/>
          </xdr:nvSpPr>
          <xdr:spPr>
            <a:xfrm rot="16200000">
              <a:off x="7482574" y="20578348"/>
              <a:ext cx="1347100" cy="424201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B</a:t>
              </a:r>
            </a:p>
          </xdr:txBody>
        </xdr:sp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E58D6FF0-EBBE-0B84-6150-AA61B6B00C1B}"/>
              </a:ext>
            </a:extLst>
          </xdr:cNvPr>
          <xdr:cNvGrpSpPr/>
        </xdr:nvGrpSpPr>
        <xdr:grpSpPr>
          <a:xfrm>
            <a:off x="8596149" y="3921453"/>
            <a:ext cx="810298" cy="438888"/>
            <a:chOff x="486956" y="1089253"/>
            <a:chExt cx="1152433" cy="1263876"/>
          </a:xfrm>
        </xdr:grpSpPr>
        <xdr:grpSp>
          <xdr:nvGrpSpPr>
            <xdr:cNvPr id="33" name="Group 32">
              <a:extLst>
                <a:ext uri="{FF2B5EF4-FFF2-40B4-BE49-F238E27FC236}">
                  <a16:creationId xmlns:a16="http://schemas.microsoft.com/office/drawing/2014/main" id="{6E839CF5-D4F1-C108-BB05-20E47EF5853A}"/>
                </a:ext>
              </a:extLst>
            </xdr:cNvPr>
            <xdr:cNvGrpSpPr/>
          </xdr:nvGrpSpPr>
          <xdr:grpSpPr>
            <a:xfrm>
              <a:off x="486956" y="1091837"/>
              <a:ext cx="1152433" cy="1261292"/>
              <a:chOff x="3253006" y="1912346"/>
              <a:chExt cx="1335928" cy="1313453"/>
            </a:xfrm>
            <a:solidFill>
              <a:schemeClr val="accent2">
                <a:lumMod val="75000"/>
              </a:schemeClr>
            </a:solidFill>
          </xdr:grpSpPr>
          <xdr:pic>
            <xdr:nvPicPr>
              <xdr:cNvPr id="35" name="Picture 34">
                <a:extLst>
                  <a:ext uri="{FF2B5EF4-FFF2-40B4-BE49-F238E27FC236}">
                    <a16:creationId xmlns:a16="http://schemas.microsoft.com/office/drawing/2014/main" id="{7FA5C037-8D95-DD0B-8A2E-0B65DB5DC1A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285067" y="1921933"/>
                <a:ext cx="1303866" cy="1303866"/>
              </a:xfrm>
              <a:prstGeom prst="rect">
                <a:avLst/>
              </a:prstGeom>
              <a:grpFill/>
            </xdr:spPr>
          </xdr:pic>
          <xdr:sp macro="" textlink="">
            <xdr:nvSpPr>
              <xdr:cNvPr id="36" name="Rectangle 35">
                <a:extLst>
                  <a:ext uri="{FF2B5EF4-FFF2-40B4-BE49-F238E27FC236}">
                    <a16:creationId xmlns:a16="http://schemas.microsoft.com/office/drawing/2014/main" id="{C93A8830-7FF7-D432-1A61-D98756188838}"/>
                  </a:ext>
                </a:extLst>
              </xdr:cNvPr>
              <xdr:cNvSpPr/>
            </xdr:nvSpPr>
            <xdr:spPr>
              <a:xfrm>
                <a:off x="3253006" y="1912346"/>
                <a:ext cx="1335928" cy="1284690"/>
              </a:xfrm>
              <a:prstGeom prst="rect">
                <a:avLst/>
              </a:prstGeom>
              <a:grpFill/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7C63527D-4A1B-6965-B76A-081F9DD4EA7C}"/>
                </a:ext>
              </a:extLst>
            </xdr:cNvPr>
            <xdr:cNvSpPr/>
          </xdr:nvSpPr>
          <xdr:spPr>
            <a:xfrm rot="16200000">
              <a:off x="464593" y="1503565"/>
              <a:ext cx="1163776" cy="335151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C</a:t>
              </a:r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0DEC9181-5452-7372-65AD-5832CCACA3FE}"/>
              </a:ext>
            </a:extLst>
          </xdr:cNvPr>
          <xdr:cNvGrpSpPr/>
        </xdr:nvGrpSpPr>
        <xdr:grpSpPr>
          <a:xfrm>
            <a:off x="11771266" y="6084378"/>
            <a:ext cx="1279017" cy="846269"/>
            <a:chOff x="9052922" y="10123712"/>
            <a:chExt cx="2123440" cy="2153557"/>
          </a:xfrm>
        </xdr:grpSpPr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B4008740-FA71-2FDF-A821-5CF26AD15CFD}"/>
                </a:ext>
              </a:extLst>
            </xdr:cNvPr>
            <xdr:cNvGrpSpPr/>
          </xdr:nvGrpSpPr>
          <xdr:grpSpPr>
            <a:xfrm>
              <a:off x="9052922" y="10123712"/>
              <a:ext cx="2123440" cy="2153557"/>
              <a:chOff x="2166446" y="4637853"/>
              <a:chExt cx="1951819" cy="1297469"/>
            </a:xfrm>
          </xdr:grpSpPr>
          <xdr:pic>
            <xdr:nvPicPr>
              <xdr:cNvPr id="31" name="Picture 30">
                <a:extLst>
                  <a:ext uri="{FF2B5EF4-FFF2-40B4-BE49-F238E27FC236}">
                    <a16:creationId xmlns:a16="http://schemas.microsoft.com/office/drawing/2014/main" id="{587E0195-B16C-407E-EC4F-202EACF99EA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2183009" y="4669512"/>
                <a:ext cx="1935256" cy="1265810"/>
              </a:xfrm>
              <a:prstGeom prst="rect">
                <a:avLst/>
              </a:prstGeom>
            </xdr:spPr>
          </xdr:pic>
          <xdr:sp macro="" textlink="">
            <xdr:nvSpPr>
              <xdr:cNvPr id="32" name="Rectangle 31">
                <a:extLst>
                  <a:ext uri="{FF2B5EF4-FFF2-40B4-BE49-F238E27FC236}">
                    <a16:creationId xmlns:a16="http://schemas.microsoft.com/office/drawing/2014/main" id="{F011F246-6AD4-055E-92BF-8A252E9487F9}"/>
                  </a:ext>
                </a:extLst>
              </xdr:cNvPr>
              <xdr:cNvSpPr/>
            </xdr:nvSpPr>
            <xdr:spPr>
              <a:xfrm>
                <a:off x="2166446" y="4637853"/>
                <a:ext cx="1943332" cy="1291924"/>
              </a:xfrm>
              <a:prstGeom prst="rect">
                <a:avLst/>
              </a:prstGeom>
              <a:solidFill>
                <a:schemeClr val="accent6">
                  <a:lumMod val="20000"/>
                  <a:lumOff val="8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0" name="Rectangle 29">
              <a:extLst>
                <a:ext uri="{FF2B5EF4-FFF2-40B4-BE49-F238E27FC236}">
                  <a16:creationId xmlns:a16="http://schemas.microsoft.com/office/drawing/2014/main" id="{53FA0790-5A8C-2810-6908-F5DDCE6FB973}"/>
                </a:ext>
              </a:extLst>
            </xdr:cNvPr>
            <xdr:cNvSpPr/>
          </xdr:nvSpPr>
          <xdr:spPr>
            <a:xfrm rot="16200000">
              <a:off x="9250330" y="10643569"/>
              <a:ext cx="1753665" cy="1060009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E</a:t>
              </a: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87534757-9954-FA97-B137-29F65FA6483C}"/>
              </a:ext>
            </a:extLst>
          </xdr:cNvPr>
          <xdr:cNvGrpSpPr/>
        </xdr:nvGrpSpPr>
        <xdr:grpSpPr>
          <a:xfrm>
            <a:off x="10459647" y="6016460"/>
            <a:ext cx="1308001" cy="479268"/>
            <a:chOff x="9071066" y="14493853"/>
            <a:chExt cx="1330960" cy="1400860"/>
          </a:xfrm>
        </xdr:grpSpPr>
        <xdr:grpSp>
          <xdr:nvGrpSpPr>
            <xdr:cNvPr id="25" name="Group 24">
              <a:extLst>
                <a:ext uri="{FF2B5EF4-FFF2-40B4-BE49-F238E27FC236}">
                  <a16:creationId xmlns:a16="http://schemas.microsoft.com/office/drawing/2014/main" id="{FB0A7CFA-BE45-322C-A04E-122DD04D681D}"/>
                </a:ext>
              </a:extLst>
            </xdr:cNvPr>
            <xdr:cNvGrpSpPr/>
          </xdr:nvGrpSpPr>
          <xdr:grpSpPr>
            <a:xfrm>
              <a:off x="9071066" y="14609355"/>
              <a:ext cx="1330960" cy="1258388"/>
              <a:chOff x="4656034" y="4721593"/>
              <a:chExt cx="1973588" cy="1275182"/>
            </a:xfrm>
          </xdr:grpSpPr>
          <xdr:pic>
            <xdr:nvPicPr>
              <xdr:cNvPr id="27" name="Picture 26">
                <a:extLst>
                  <a:ext uri="{FF2B5EF4-FFF2-40B4-BE49-F238E27FC236}">
                    <a16:creationId xmlns:a16="http://schemas.microsoft.com/office/drawing/2014/main" id="{5F256302-5419-D230-E9EF-06E534C8232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4697150" y="4730964"/>
                <a:ext cx="1932472" cy="1265810"/>
              </a:xfrm>
              <a:prstGeom prst="rect">
                <a:avLst/>
              </a:prstGeom>
            </xdr:spPr>
          </xdr:pic>
          <xdr:sp macro="" textlink="">
            <xdr:nvSpPr>
              <xdr:cNvPr id="28" name="Rectangle 27">
                <a:extLst>
                  <a:ext uri="{FF2B5EF4-FFF2-40B4-BE49-F238E27FC236}">
                    <a16:creationId xmlns:a16="http://schemas.microsoft.com/office/drawing/2014/main" id="{C0CB5197-CCCC-40F4-CA03-6263D9F5103A}"/>
                  </a:ext>
                </a:extLst>
              </xdr:cNvPr>
              <xdr:cNvSpPr/>
            </xdr:nvSpPr>
            <xdr:spPr>
              <a:xfrm>
                <a:off x="4656034" y="4721593"/>
                <a:ext cx="1973588" cy="1275182"/>
              </a:xfrm>
              <a:prstGeom prst="rect">
                <a:avLst/>
              </a:prstGeom>
              <a:solidFill>
                <a:schemeClr val="accent3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BC5532B2-8EE0-31C0-8886-B4FD7BB55D8A}"/>
                </a:ext>
              </a:extLst>
            </xdr:cNvPr>
            <xdr:cNvSpPr/>
          </xdr:nvSpPr>
          <xdr:spPr>
            <a:xfrm rot="16362205">
              <a:off x="9043010" y="15067404"/>
              <a:ext cx="1400860" cy="25375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G</a:t>
              </a:r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0125A7CE-D121-7ACD-10F3-9428171CC55D}"/>
              </a:ext>
            </a:extLst>
          </xdr:cNvPr>
          <xdr:cNvGrpSpPr/>
        </xdr:nvGrpSpPr>
        <xdr:grpSpPr>
          <a:xfrm>
            <a:off x="9884303" y="8411295"/>
            <a:ext cx="1234598" cy="438215"/>
            <a:chOff x="1341121" y="18600490"/>
            <a:chExt cx="1087120" cy="1203283"/>
          </a:xfrm>
        </xdr:grpSpPr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6E261234-C47A-34FB-8AAE-4E6036EED8A9}"/>
                </a:ext>
              </a:extLst>
            </xdr:cNvPr>
            <xdr:cNvGrpSpPr/>
          </xdr:nvGrpSpPr>
          <xdr:grpSpPr>
            <a:xfrm>
              <a:off x="1341121" y="18600490"/>
              <a:ext cx="1087120" cy="1201349"/>
              <a:chOff x="288607" y="2746443"/>
              <a:chExt cx="1672192" cy="820118"/>
            </a:xfrm>
          </xdr:grpSpPr>
          <xdr:pic>
            <xdr:nvPicPr>
              <xdr:cNvPr id="23" name="Picture 22">
                <a:extLst>
                  <a:ext uri="{FF2B5EF4-FFF2-40B4-BE49-F238E27FC236}">
                    <a16:creationId xmlns:a16="http://schemas.microsoft.com/office/drawing/2014/main" id="{1660DA27-9540-8C92-6C28-D6389B94152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96630" y="27464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24" name="Rectangle 23">
                <a:extLst>
                  <a:ext uri="{FF2B5EF4-FFF2-40B4-BE49-F238E27FC236}">
                    <a16:creationId xmlns:a16="http://schemas.microsoft.com/office/drawing/2014/main" id="{E0D5CD15-C624-CC0D-08AE-30671927FC63}"/>
                  </a:ext>
                </a:extLst>
              </xdr:cNvPr>
              <xdr:cNvSpPr/>
            </xdr:nvSpPr>
            <xdr:spPr>
              <a:xfrm>
                <a:off x="288607" y="2748129"/>
                <a:ext cx="1672192" cy="797625"/>
              </a:xfrm>
              <a:prstGeom prst="rect">
                <a:avLst/>
              </a:prstGeom>
              <a:solidFill>
                <a:schemeClr val="accent6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A02A9973-A7A8-6795-B677-AAB7B2ADE71C}"/>
                </a:ext>
              </a:extLst>
            </xdr:cNvPr>
            <xdr:cNvSpPr/>
          </xdr:nvSpPr>
          <xdr:spPr>
            <a:xfrm rot="16200000">
              <a:off x="1288390" y="19120848"/>
              <a:ext cx="1172259" cy="193592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K</a:t>
              </a:r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B0A0BF35-4907-C837-D78F-A93DB9D9C740}"/>
              </a:ext>
            </a:extLst>
          </xdr:cNvPr>
          <xdr:cNvGrpSpPr/>
        </xdr:nvGrpSpPr>
        <xdr:grpSpPr>
          <a:xfrm>
            <a:off x="8594837" y="4357372"/>
            <a:ext cx="821598" cy="413067"/>
            <a:chOff x="3647441" y="19785639"/>
            <a:chExt cx="1168400" cy="1265881"/>
          </a:xfrm>
        </xdr:grpSpPr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B54AB0A1-9629-570B-2F9A-2B841FB179BD}"/>
                </a:ext>
              </a:extLst>
            </xdr:cNvPr>
            <xdr:cNvGrpSpPr/>
          </xdr:nvGrpSpPr>
          <xdr:grpSpPr>
            <a:xfrm>
              <a:off x="3647441" y="19785639"/>
              <a:ext cx="1168400" cy="1265881"/>
              <a:chOff x="3262466" y="1921933"/>
              <a:chExt cx="1326467" cy="1303866"/>
            </a:xfrm>
          </xdr:grpSpPr>
          <xdr:pic>
            <xdr:nvPicPr>
              <xdr:cNvPr id="19" name="Picture 18">
                <a:extLst>
                  <a:ext uri="{FF2B5EF4-FFF2-40B4-BE49-F238E27FC236}">
                    <a16:creationId xmlns:a16="http://schemas.microsoft.com/office/drawing/2014/main" id="{6B41724C-37B9-B4E1-B8B8-29CD76DECA1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285067" y="1921933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20" name="Rectangle 19">
                <a:extLst>
                  <a:ext uri="{FF2B5EF4-FFF2-40B4-BE49-F238E27FC236}">
                    <a16:creationId xmlns:a16="http://schemas.microsoft.com/office/drawing/2014/main" id="{CDC2EBCA-6AC3-E3AA-19AB-D8D3A8131B59}"/>
                  </a:ext>
                </a:extLst>
              </xdr:cNvPr>
              <xdr:cNvSpPr/>
            </xdr:nvSpPr>
            <xdr:spPr>
              <a:xfrm>
                <a:off x="3262466" y="1928155"/>
                <a:ext cx="1326465" cy="1297644"/>
              </a:xfrm>
              <a:prstGeom prst="rect">
                <a:avLst/>
              </a:prstGeom>
              <a:solidFill>
                <a:schemeClr val="bg1">
                  <a:lumMod val="6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B905AF6C-574A-F247-D66E-9C509A2A4450}"/>
                </a:ext>
              </a:extLst>
            </xdr:cNvPr>
            <xdr:cNvSpPr/>
          </xdr:nvSpPr>
          <xdr:spPr>
            <a:xfrm rot="16200000">
              <a:off x="3622532" y="20237238"/>
              <a:ext cx="1116617" cy="338249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A</a:t>
              </a:r>
            </a:p>
          </xdr:txBody>
        </xdr:sp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137118</xdr:colOff>
      <xdr:row>16</xdr:row>
      <xdr:rowOff>405335</xdr:rowOff>
    </xdr:from>
    <xdr:to>
      <xdr:col>31</xdr:col>
      <xdr:colOff>80547</xdr:colOff>
      <xdr:row>19</xdr:row>
      <xdr:rowOff>326890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F73570A-CE0D-D74B-B672-9856AF4A52FC}"/>
            </a:ext>
          </a:extLst>
        </xdr:cNvPr>
        <xdr:cNvCxnSpPr>
          <a:stCxn id="20" idx="3"/>
          <a:endCxn id="25" idx="1"/>
        </xdr:cNvCxnSpPr>
      </xdr:nvCxnSpPr>
      <xdr:spPr>
        <a:xfrm flipV="1">
          <a:off x="6299200" y="6691835"/>
          <a:ext cx="0" cy="1115355"/>
        </a:xfrm>
        <a:prstGeom prst="straightConnector1">
          <a:avLst/>
        </a:prstGeom>
        <a:noFill/>
        <a:ln w="79375" cap="flat">
          <a:solidFill>
            <a:srgbClr val="00B050"/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25</xdr:col>
      <xdr:colOff>3628</xdr:colOff>
      <xdr:row>11</xdr:row>
      <xdr:rowOff>289650</xdr:rowOff>
    </xdr:from>
    <xdr:to>
      <xdr:col>25</xdr:col>
      <xdr:colOff>79841</xdr:colOff>
      <xdr:row>13</xdr:row>
      <xdr:rowOff>90922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84BD6EF-105C-E549-A5C0-8DA2DF978743}"/>
            </a:ext>
          </a:extLst>
        </xdr:cNvPr>
        <xdr:cNvCxnSpPr>
          <a:stCxn id="60" idx="3"/>
          <a:endCxn id="45" idx="1"/>
        </xdr:cNvCxnSpPr>
      </xdr:nvCxnSpPr>
      <xdr:spPr>
        <a:xfrm>
          <a:off x="6299200" y="4620350"/>
          <a:ext cx="0" cy="588672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27</xdr:col>
      <xdr:colOff>164280</xdr:colOff>
      <xdr:row>16</xdr:row>
      <xdr:rowOff>166913</xdr:rowOff>
    </xdr:from>
    <xdr:to>
      <xdr:col>27</xdr:col>
      <xdr:colOff>259449</xdr:colOff>
      <xdr:row>16</xdr:row>
      <xdr:rowOff>269152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634EDD3-DBC8-8647-97F2-65531610FD2A}"/>
            </a:ext>
          </a:extLst>
        </xdr:cNvPr>
        <xdr:cNvCxnSpPr>
          <a:stCxn id="20" idx="0"/>
          <a:endCxn id="45" idx="2"/>
        </xdr:cNvCxnSpPr>
      </xdr:nvCxnSpPr>
      <xdr:spPr>
        <a:xfrm flipV="1">
          <a:off x="6299200" y="6466113"/>
          <a:ext cx="0" cy="102239"/>
        </a:xfrm>
        <a:prstGeom prst="straightConnector1">
          <a:avLst/>
        </a:prstGeom>
        <a:noFill/>
        <a:ln w="34925" cap="flat">
          <a:solidFill>
            <a:schemeClr val="accent5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27</xdr:col>
      <xdr:colOff>36007</xdr:colOff>
      <xdr:row>33</xdr:row>
      <xdr:rowOff>184525</xdr:rowOff>
    </xdr:from>
    <xdr:to>
      <xdr:col>33</xdr:col>
      <xdr:colOff>397830</xdr:colOff>
      <xdr:row>36</xdr:row>
      <xdr:rowOff>253999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6367D32-10FB-AA41-ADFE-02D18EB227E5}"/>
            </a:ext>
          </a:extLst>
        </xdr:cNvPr>
        <xdr:cNvCxnSpPr>
          <a:stCxn id="35" idx="2"/>
          <a:endCxn id="40" idx="0"/>
        </xdr:cNvCxnSpPr>
      </xdr:nvCxnSpPr>
      <xdr:spPr>
        <a:xfrm flipV="1">
          <a:off x="6299200" y="13176625"/>
          <a:ext cx="0" cy="1250574"/>
        </a:xfrm>
        <a:prstGeom prst="straightConnector1">
          <a:avLst/>
        </a:prstGeom>
        <a:noFill/>
        <a:ln w="381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18</xdr:col>
      <xdr:colOff>76546</xdr:colOff>
      <xdr:row>13</xdr:row>
      <xdr:rowOff>192079</xdr:rowOff>
    </xdr:from>
    <xdr:to>
      <xdr:col>23</xdr:col>
      <xdr:colOff>208190</xdr:colOff>
      <xdr:row>13</xdr:row>
      <xdr:rowOff>303090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FC793E3-5EB1-844D-A926-23723B24F96A}"/>
            </a:ext>
          </a:extLst>
        </xdr:cNvPr>
        <xdr:cNvCxnSpPr>
          <a:stCxn id="80" idx="0"/>
          <a:endCxn id="55" idx="1"/>
        </xdr:cNvCxnSpPr>
      </xdr:nvCxnSpPr>
      <xdr:spPr>
        <a:xfrm flipH="1">
          <a:off x="6299200" y="5310179"/>
          <a:ext cx="0" cy="111011"/>
        </a:xfrm>
        <a:prstGeom prst="straightConnector1">
          <a:avLst/>
        </a:prstGeom>
        <a:noFill/>
        <a:ln w="12700" cap="flat">
          <a:solidFill>
            <a:schemeClr val="tx1">
              <a:lumMod val="85000"/>
              <a:lumOff val="1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33</xdr:col>
      <xdr:colOff>100846</xdr:colOff>
      <xdr:row>26</xdr:row>
      <xdr:rowOff>263069</xdr:rowOff>
    </xdr:from>
    <xdr:to>
      <xdr:col>37</xdr:col>
      <xdr:colOff>243311</xdr:colOff>
      <xdr:row>27</xdr:row>
      <xdr:rowOff>87083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8E09AAB-BECE-DD41-8FF1-FEA0581DA852}"/>
            </a:ext>
          </a:extLst>
        </xdr:cNvPr>
        <xdr:cNvCxnSpPr>
          <a:stCxn id="65" idx="2"/>
          <a:endCxn id="51" idx="0"/>
        </xdr:cNvCxnSpPr>
      </xdr:nvCxnSpPr>
      <xdr:spPr>
        <a:xfrm flipH="1">
          <a:off x="6299200" y="10499269"/>
          <a:ext cx="0" cy="217714"/>
        </a:xfrm>
        <a:prstGeom prst="straightConnector1">
          <a:avLst/>
        </a:prstGeom>
        <a:noFill/>
        <a:ln w="381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30</xdr:col>
      <xdr:colOff>156796</xdr:colOff>
      <xdr:row>25</xdr:row>
      <xdr:rowOff>33802</xdr:rowOff>
    </xdr:from>
    <xdr:to>
      <xdr:col>30</xdr:col>
      <xdr:colOff>369925</xdr:colOff>
      <xdr:row>26</xdr:row>
      <xdr:rowOff>256722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1D04E8C2-4969-C346-B341-11C659A3B06E}"/>
            </a:ext>
          </a:extLst>
        </xdr:cNvPr>
        <xdr:cNvCxnSpPr>
          <a:stCxn id="30" idx="3"/>
          <a:endCxn id="70" idx="1"/>
        </xdr:cNvCxnSpPr>
      </xdr:nvCxnSpPr>
      <xdr:spPr>
        <a:xfrm flipV="1">
          <a:off x="6299200" y="9876302"/>
          <a:ext cx="0" cy="616620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ysDash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18</xdr:col>
      <xdr:colOff>76546</xdr:colOff>
      <xdr:row>13</xdr:row>
      <xdr:rowOff>303090</xdr:rowOff>
    </xdr:from>
    <xdr:to>
      <xdr:col>24</xdr:col>
      <xdr:colOff>391161</xdr:colOff>
      <xdr:row>15</xdr:row>
      <xdr:rowOff>36773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0C9D6A6-4368-B843-B9B9-089C0D24C78E}"/>
            </a:ext>
          </a:extLst>
        </xdr:cNvPr>
        <xdr:cNvCxnSpPr>
          <a:stCxn id="80" idx="3"/>
          <a:endCxn id="55" idx="1"/>
        </xdr:cNvCxnSpPr>
      </xdr:nvCxnSpPr>
      <xdr:spPr>
        <a:xfrm flipH="1" flipV="1">
          <a:off x="6299200" y="5421190"/>
          <a:ext cx="0" cy="521083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ysDash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21</xdr:col>
      <xdr:colOff>329594</xdr:colOff>
      <xdr:row>11</xdr:row>
      <xdr:rowOff>266465</xdr:rowOff>
    </xdr:from>
    <xdr:to>
      <xdr:col>22</xdr:col>
      <xdr:colOff>39916</xdr:colOff>
      <xdr:row>13</xdr:row>
      <xdr:rowOff>303090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85DBFCC-9899-1C43-89A9-54A4FB5D625D}"/>
            </a:ext>
          </a:extLst>
        </xdr:cNvPr>
        <xdr:cNvCxnSpPr>
          <a:stCxn id="55" idx="3"/>
          <a:endCxn id="61" idx="1"/>
        </xdr:cNvCxnSpPr>
      </xdr:nvCxnSpPr>
      <xdr:spPr>
        <a:xfrm flipV="1">
          <a:off x="6299200" y="4597165"/>
          <a:ext cx="0" cy="824025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ysDash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34</xdr:col>
      <xdr:colOff>99786</xdr:colOff>
      <xdr:row>23</xdr:row>
      <xdr:rowOff>375380</xdr:rowOff>
    </xdr:from>
    <xdr:to>
      <xdr:col>34</xdr:col>
      <xdr:colOff>361042</xdr:colOff>
      <xdr:row>25</xdr:row>
      <xdr:rowOff>29029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01DA309-D531-7649-8095-2FC320AFB813}"/>
            </a:ext>
          </a:extLst>
        </xdr:cNvPr>
        <xdr:cNvCxnSpPr>
          <a:stCxn id="66" idx="1"/>
          <a:endCxn id="71" idx="3"/>
        </xdr:cNvCxnSpPr>
      </xdr:nvCxnSpPr>
      <xdr:spPr>
        <a:xfrm flipH="1">
          <a:off x="6299200" y="9430480"/>
          <a:ext cx="0" cy="441049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ysDash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33</xdr:col>
      <xdr:colOff>100846</xdr:colOff>
      <xdr:row>25</xdr:row>
      <xdr:rowOff>29029</xdr:rowOff>
    </xdr:from>
    <xdr:to>
      <xdr:col>34</xdr:col>
      <xdr:colOff>99786</xdr:colOff>
      <xdr:row>27</xdr:row>
      <xdr:rowOff>87083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1C2C81A-6682-9648-ACF6-38C4F1E07E81}"/>
            </a:ext>
          </a:extLst>
        </xdr:cNvPr>
        <xdr:cNvCxnSpPr>
          <a:stCxn id="71" idx="3"/>
          <a:endCxn id="51" idx="0"/>
        </xdr:cNvCxnSpPr>
      </xdr:nvCxnSpPr>
      <xdr:spPr>
        <a:xfrm flipH="1">
          <a:off x="6299200" y="9871529"/>
          <a:ext cx="0" cy="845454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ysDash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27</xdr:col>
      <xdr:colOff>93820</xdr:colOff>
      <xdr:row>22</xdr:row>
      <xdr:rowOff>384628</xdr:rowOff>
    </xdr:from>
    <xdr:to>
      <xdr:col>27</xdr:col>
      <xdr:colOff>164280</xdr:colOff>
      <xdr:row>23</xdr:row>
      <xdr:rowOff>148772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A59544C-7911-9749-95AC-8293529A66F7}"/>
            </a:ext>
          </a:extLst>
        </xdr:cNvPr>
        <xdr:cNvCxnSpPr>
          <a:stCxn id="30" idx="0"/>
          <a:endCxn id="20" idx="2"/>
        </xdr:cNvCxnSpPr>
      </xdr:nvCxnSpPr>
      <xdr:spPr>
        <a:xfrm flipV="1">
          <a:off x="6299200" y="9046028"/>
          <a:ext cx="0" cy="157844"/>
        </a:xfrm>
        <a:prstGeom prst="straightConnector1">
          <a:avLst/>
        </a:prstGeom>
        <a:noFill/>
        <a:ln w="12700" cap="flat">
          <a:solidFill>
            <a:schemeClr val="tx1">
              <a:lumMod val="85000"/>
              <a:lumOff val="1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30</xdr:col>
      <xdr:colOff>76201</xdr:colOff>
      <xdr:row>37</xdr:row>
      <xdr:rowOff>240250</xdr:rowOff>
    </xdr:from>
    <xdr:to>
      <xdr:col>30</xdr:col>
      <xdr:colOff>243114</xdr:colOff>
      <xdr:row>40</xdr:row>
      <xdr:rowOff>67103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2DC8195-F120-4F4B-ABAA-DF4BF1F28B2A}"/>
            </a:ext>
          </a:extLst>
        </xdr:cNvPr>
        <xdr:cNvCxnSpPr>
          <a:stCxn id="41" idx="1"/>
          <a:endCxn id="76" idx="3"/>
        </xdr:cNvCxnSpPr>
      </xdr:nvCxnSpPr>
      <xdr:spPr>
        <a:xfrm flipH="1">
          <a:off x="6299200" y="14807150"/>
          <a:ext cx="0" cy="1007953"/>
        </a:xfrm>
        <a:prstGeom prst="straightConnector1">
          <a:avLst/>
        </a:prstGeom>
        <a:noFill/>
        <a:ln w="12700" cap="flat">
          <a:solidFill>
            <a:schemeClr val="tx1">
              <a:lumMod val="85000"/>
              <a:lumOff val="1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27</xdr:col>
      <xdr:colOff>34413</xdr:colOff>
      <xdr:row>36</xdr:row>
      <xdr:rowOff>168620</xdr:rowOff>
    </xdr:from>
    <xdr:to>
      <xdr:col>28</xdr:col>
      <xdr:colOff>327659</xdr:colOff>
      <xdr:row>38</xdr:row>
      <xdr:rowOff>284550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A7BCF30-7ADC-FC44-BCEC-DDB64027DD02}"/>
            </a:ext>
          </a:extLst>
        </xdr:cNvPr>
        <xdr:cNvCxnSpPr>
          <a:stCxn id="36" idx="2"/>
          <a:endCxn id="75" idx="0"/>
        </xdr:cNvCxnSpPr>
      </xdr:nvCxnSpPr>
      <xdr:spPr>
        <a:xfrm>
          <a:off x="6299200" y="14341820"/>
          <a:ext cx="0" cy="903330"/>
        </a:xfrm>
        <a:prstGeom prst="straightConnector1">
          <a:avLst/>
        </a:prstGeom>
        <a:noFill/>
        <a:ln w="12700" cap="flat">
          <a:solidFill>
            <a:schemeClr val="tx1">
              <a:lumMod val="85000"/>
              <a:lumOff val="1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27</xdr:col>
      <xdr:colOff>36007</xdr:colOff>
      <xdr:row>36</xdr:row>
      <xdr:rowOff>253999</xdr:rowOff>
    </xdr:from>
    <xdr:to>
      <xdr:col>30</xdr:col>
      <xdr:colOff>243114</xdr:colOff>
      <xdr:row>37</xdr:row>
      <xdr:rowOff>240250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3C70FC19-062B-6F47-B1B0-3A9B6851816B}"/>
            </a:ext>
          </a:extLst>
        </xdr:cNvPr>
        <xdr:cNvCxnSpPr>
          <a:stCxn id="35" idx="2"/>
          <a:endCxn id="41" idx="1"/>
        </xdr:cNvCxnSpPr>
      </xdr:nvCxnSpPr>
      <xdr:spPr>
        <a:xfrm>
          <a:off x="6299200" y="14427199"/>
          <a:ext cx="0" cy="379951"/>
        </a:xfrm>
        <a:prstGeom prst="straightConnector1">
          <a:avLst/>
        </a:prstGeom>
        <a:noFill/>
        <a:ln w="12700" cap="flat">
          <a:solidFill>
            <a:schemeClr val="tx1">
              <a:lumMod val="85000"/>
              <a:lumOff val="1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16</xdr:col>
      <xdr:colOff>0</xdr:colOff>
      <xdr:row>16</xdr:row>
      <xdr:rowOff>268512</xdr:rowOff>
    </xdr:from>
    <xdr:to>
      <xdr:col>16</xdr:col>
      <xdr:colOff>0</xdr:colOff>
      <xdr:row>22</xdr:row>
      <xdr:rowOff>384628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98FDA442-370C-0B41-8DB9-CF31C724F8ED}"/>
            </a:ext>
          </a:extLst>
        </xdr:cNvPr>
        <xdr:cNvGrpSpPr/>
      </xdr:nvGrpSpPr>
      <xdr:grpSpPr>
        <a:xfrm>
          <a:off x="6299200" y="6567712"/>
          <a:ext cx="0" cy="2478316"/>
          <a:chOff x="398610" y="5025569"/>
          <a:chExt cx="2368176" cy="2440216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2AB1979C-A4ED-0B27-8252-941AC41720ED}"/>
              </a:ext>
            </a:extLst>
          </xdr:cNvPr>
          <xdr:cNvGrpSpPr/>
        </xdr:nvGrpSpPr>
        <xdr:grpSpPr>
          <a:xfrm>
            <a:off x="398610" y="5025569"/>
            <a:ext cx="2368176" cy="2440216"/>
            <a:chOff x="1705668" y="3495864"/>
            <a:chExt cx="3164668" cy="954136"/>
          </a:xfrm>
        </xdr:grpSpPr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6455B8B3-1DB8-2DCD-9035-85DBF1F2A4F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813870" y="3496103"/>
              <a:ext cx="3056466" cy="953897"/>
            </a:xfrm>
            <a:prstGeom prst="rect">
              <a:avLst/>
            </a:prstGeom>
          </xdr:spPr>
        </xdr:pic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1E9E3B7C-76FD-B4BC-ED7B-514FD5FB1B34}"/>
                </a:ext>
              </a:extLst>
            </xdr:cNvPr>
            <xdr:cNvSpPr/>
          </xdr:nvSpPr>
          <xdr:spPr>
            <a:xfrm>
              <a:off x="1705668" y="3495864"/>
              <a:ext cx="3091222" cy="93285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438CE680-C813-533B-9BD4-3FD44511BEE5}"/>
              </a:ext>
            </a:extLst>
          </xdr:cNvPr>
          <xdr:cNvSpPr txBox="1"/>
        </xdr:nvSpPr>
        <xdr:spPr>
          <a:xfrm>
            <a:off x="1097642" y="5669643"/>
            <a:ext cx="807357" cy="111235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50800" tIns="50800" rIns="50800" bIns="50800" numCol="1" spcCol="38100" rtlCol="0" anchor="t">
            <a:spAutoFit/>
          </a:bodyPr>
          <a:lstStyle/>
          <a:p>
            <a:pPr marL="0" marR="0" indent="0" algn="l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6600" b="0" i="0" u="none" strike="noStrike" cap="none" spc="0" normalizeH="0" baseline="0">
                <a:ln>
                  <a:noFill/>
                </a:ln>
                <a:solidFill>
                  <a:schemeClr val="bg1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rPr>
              <a:t>I</a:t>
            </a:r>
          </a:p>
        </xdr:txBody>
      </xdr:sp>
    </xdr:grpSp>
    <xdr:clientData/>
  </xdr:twoCellAnchor>
  <xdr:twoCellAnchor>
    <xdr:from>
      <xdr:col>16</xdr:col>
      <xdr:colOff>0</xdr:colOff>
      <xdr:row>13</xdr:row>
      <xdr:rowOff>29026</xdr:rowOff>
    </xdr:from>
    <xdr:to>
      <xdr:col>16</xdr:col>
      <xdr:colOff>0</xdr:colOff>
      <xdr:row>20</xdr:row>
      <xdr:rowOff>371389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527FC801-5C9A-6E42-BA6C-A8918EBF82AF}"/>
            </a:ext>
          </a:extLst>
        </xdr:cNvPr>
        <xdr:cNvGrpSpPr/>
      </xdr:nvGrpSpPr>
      <xdr:grpSpPr>
        <a:xfrm>
          <a:off x="6299200" y="5147126"/>
          <a:ext cx="0" cy="3098263"/>
          <a:chOff x="7415704" y="5252355"/>
          <a:chExt cx="3184873" cy="3056534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D7E2B5BA-9674-AA72-2AC4-B1DE0AF819C5}"/>
              </a:ext>
            </a:extLst>
          </xdr:cNvPr>
          <xdr:cNvGrpSpPr/>
        </xdr:nvGrpSpPr>
        <xdr:grpSpPr>
          <a:xfrm>
            <a:off x="7415704" y="5252355"/>
            <a:ext cx="3184873" cy="3056534"/>
            <a:chOff x="5969000" y="3563312"/>
            <a:chExt cx="3056466" cy="955052"/>
          </a:xfrm>
        </xdr:grpSpPr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7D4139B7-1FEA-0E49-BA86-28687D6A535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969000" y="3564467"/>
              <a:ext cx="3056466" cy="953897"/>
            </a:xfrm>
            <a:prstGeom prst="rect">
              <a:avLst/>
            </a:prstGeom>
          </xdr:spPr>
        </xdr:pic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6D3A4658-D68C-F707-F427-2EEDCC557134}"/>
                </a:ext>
              </a:extLst>
            </xdr:cNvPr>
            <xdr:cNvSpPr/>
          </xdr:nvSpPr>
          <xdr:spPr>
            <a:xfrm>
              <a:off x="5982239" y="3563312"/>
              <a:ext cx="3038286" cy="926876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DF6A2979-6397-FA0F-621E-8D48C8B9493E}"/>
              </a:ext>
            </a:extLst>
          </xdr:cNvPr>
          <xdr:cNvSpPr/>
        </xdr:nvSpPr>
        <xdr:spPr>
          <a:xfrm>
            <a:off x="8236857" y="5866530"/>
            <a:ext cx="1433286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  <xdr:twoCellAnchor>
    <xdr:from>
      <xdr:col>16</xdr:col>
      <xdr:colOff>0</xdr:colOff>
      <xdr:row>23</xdr:row>
      <xdr:rowOff>148772</xdr:rowOff>
    </xdr:from>
    <xdr:to>
      <xdr:col>16</xdr:col>
      <xdr:colOff>0</xdr:colOff>
      <xdr:row>29</xdr:row>
      <xdr:rowOff>364672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3B3ED356-5908-304A-828E-CE0B70D9E62A}"/>
            </a:ext>
          </a:extLst>
        </xdr:cNvPr>
        <xdr:cNvGrpSpPr/>
      </xdr:nvGrpSpPr>
      <xdr:grpSpPr>
        <a:xfrm>
          <a:off x="6299200" y="9203872"/>
          <a:ext cx="0" cy="2578100"/>
          <a:chOff x="4236358" y="10468429"/>
          <a:chExt cx="2450052" cy="2540000"/>
        </a:xfrm>
      </xdr:grpSpPr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4BC8D217-C8ED-898E-3389-AC94130D32BE}"/>
              </a:ext>
            </a:extLst>
          </xdr:cNvPr>
          <xdr:cNvGrpSpPr/>
        </xdr:nvGrpSpPr>
        <xdr:grpSpPr>
          <a:xfrm>
            <a:off x="4236358" y="10468429"/>
            <a:ext cx="2450052" cy="2540000"/>
            <a:chOff x="5969000" y="3564467"/>
            <a:chExt cx="3056466" cy="953897"/>
          </a:xfrm>
        </xdr:grpSpPr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FFCA4582-8FEE-1E23-BDF9-2758B584870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969000" y="3564467"/>
              <a:ext cx="3056466" cy="953897"/>
            </a:xfrm>
            <a:prstGeom prst="rect">
              <a:avLst/>
            </a:prstGeom>
          </xdr:spPr>
        </xdr:pic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4A767D44-E2AB-9BDD-AD63-19A41C65EE27}"/>
                </a:ext>
              </a:extLst>
            </xdr:cNvPr>
            <xdr:cNvSpPr/>
          </xdr:nvSpPr>
          <xdr:spPr>
            <a:xfrm>
              <a:off x="5980316" y="3564467"/>
              <a:ext cx="3044193" cy="926643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04E70151-8003-ABF7-A258-8ADCDCA6E3EE}"/>
              </a:ext>
            </a:extLst>
          </xdr:cNvPr>
          <xdr:cNvSpPr/>
        </xdr:nvSpPr>
        <xdr:spPr>
          <a:xfrm>
            <a:off x="4953000" y="11146429"/>
            <a:ext cx="952500" cy="948145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5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H</a:t>
            </a:r>
          </a:p>
        </xdr:txBody>
      </xdr:sp>
    </xdr:grpSp>
    <xdr:clientData/>
  </xdr:twoCellAnchor>
  <xdr:twoCellAnchor>
    <xdr:from>
      <xdr:col>16</xdr:col>
      <xdr:colOff>0</xdr:colOff>
      <xdr:row>30</xdr:row>
      <xdr:rowOff>82582</xdr:rowOff>
    </xdr:from>
    <xdr:to>
      <xdr:col>16</xdr:col>
      <xdr:colOff>0</xdr:colOff>
      <xdr:row>36</xdr:row>
      <xdr:rowOff>253999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1C49FCB9-4787-DA4C-80A8-782179B5A33F}"/>
            </a:ext>
          </a:extLst>
        </xdr:cNvPr>
        <xdr:cNvGrpSpPr/>
      </xdr:nvGrpSpPr>
      <xdr:grpSpPr>
        <a:xfrm>
          <a:off x="6299200" y="11893582"/>
          <a:ext cx="0" cy="2533617"/>
          <a:chOff x="414384" y="10664222"/>
          <a:chExt cx="2616365" cy="2538697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6EFCBC94-EFF1-3799-1990-4A6BEE6660E7}"/>
              </a:ext>
            </a:extLst>
          </xdr:cNvPr>
          <xdr:cNvGrpSpPr/>
        </xdr:nvGrpSpPr>
        <xdr:grpSpPr>
          <a:xfrm>
            <a:off x="414384" y="10664222"/>
            <a:ext cx="2616365" cy="2538697"/>
            <a:chOff x="279697" y="1629743"/>
            <a:chExt cx="1648539" cy="820118"/>
          </a:xfrm>
        </xdr:grpSpPr>
        <xdr:pic>
          <xdr:nvPicPr>
            <xdr:cNvPr id="35" name="Picture 34">
              <a:extLst>
                <a:ext uri="{FF2B5EF4-FFF2-40B4-BE49-F238E27FC236}">
                  <a16:creationId xmlns:a16="http://schemas.microsoft.com/office/drawing/2014/main" id="{D4E025A6-10AD-D7D7-6222-A91D105BA89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9697" y="1629743"/>
              <a:ext cx="1648539" cy="820118"/>
            </a:xfrm>
            <a:prstGeom prst="rect">
              <a:avLst/>
            </a:prstGeom>
          </xdr:spPr>
        </xdr:pic>
        <xdr:sp macro="" textlink="">
          <xdr:nvSpPr>
            <xdr:cNvPr id="36" name="Rectangle 35">
              <a:extLst>
                <a:ext uri="{FF2B5EF4-FFF2-40B4-BE49-F238E27FC236}">
                  <a16:creationId xmlns:a16="http://schemas.microsoft.com/office/drawing/2014/main" id="{21E64A7C-E75E-8237-8B26-AB7C9317E148}"/>
                </a:ext>
              </a:extLst>
            </xdr:cNvPr>
            <xdr:cNvSpPr/>
          </xdr:nvSpPr>
          <xdr:spPr>
            <a:xfrm>
              <a:off x="291292" y="1633012"/>
              <a:ext cx="1623386" cy="790019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ABA794E-6F5E-72D7-36A1-10814D9865E3}"/>
              </a:ext>
            </a:extLst>
          </xdr:cNvPr>
          <xdr:cNvSpPr/>
        </xdr:nvSpPr>
        <xdr:spPr>
          <a:xfrm>
            <a:off x="1215935" y="11139036"/>
            <a:ext cx="1019265" cy="115452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6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L</a:t>
            </a:r>
          </a:p>
        </xdr:txBody>
      </xdr:sp>
    </xdr:grpSp>
    <xdr:clientData/>
  </xdr:twoCellAnchor>
  <xdr:twoCellAnchor>
    <xdr:from>
      <xdr:col>16</xdr:col>
      <xdr:colOff>0</xdr:colOff>
      <xdr:row>33</xdr:row>
      <xdr:rowOff>184525</xdr:rowOff>
    </xdr:from>
    <xdr:to>
      <xdr:col>16</xdr:col>
      <xdr:colOff>0</xdr:colOff>
      <xdr:row>41</xdr:row>
      <xdr:rowOff>344714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150F4904-05E4-EB4C-A794-C20E1EC70080}"/>
            </a:ext>
          </a:extLst>
        </xdr:cNvPr>
        <xdr:cNvGrpSpPr/>
      </xdr:nvGrpSpPr>
      <xdr:grpSpPr>
        <a:xfrm>
          <a:off x="6299200" y="13176625"/>
          <a:ext cx="0" cy="3309789"/>
          <a:chOff x="2558143" y="14769568"/>
          <a:chExt cx="2603500" cy="3264432"/>
        </a:xfrm>
      </xdr:grpSpPr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9FC2F494-6742-2200-2B33-E2164A44B7DE}"/>
              </a:ext>
            </a:extLst>
          </xdr:cNvPr>
          <xdr:cNvGrpSpPr/>
        </xdr:nvGrpSpPr>
        <xdr:grpSpPr>
          <a:xfrm>
            <a:off x="2558143" y="14769568"/>
            <a:ext cx="2603500" cy="3264432"/>
            <a:chOff x="278210" y="2746443"/>
            <a:chExt cx="1666959" cy="820118"/>
          </a:xfrm>
        </xdr:grpSpPr>
        <xdr:pic>
          <xdr:nvPicPr>
            <xdr:cNvPr id="40" name="Picture 39">
              <a:extLst>
                <a:ext uri="{FF2B5EF4-FFF2-40B4-BE49-F238E27FC236}">
                  <a16:creationId xmlns:a16="http://schemas.microsoft.com/office/drawing/2014/main" id="{F83D0C93-56B7-60EE-7973-855D484806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6630" y="2746443"/>
              <a:ext cx="1648539" cy="820118"/>
            </a:xfrm>
            <a:prstGeom prst="rect">
              <a:avLst/>
            </a:prstGeom>
          </xdr:spPr>
        </xdr:pic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E731AB51-EE3C-56EB-A5FF-D1BA88E7DE49}"/>
                </a:ext>
              </a:extLst>
            </xdr:cNvPr>
            <xdr:cNvSpPr/>
          </xdr:nvSpPr>
          <xdr:spPr>
            <a:xfrm>
              <a:off x="278210" y="2748400"/>
              <a:ext cx="1661150" cy="804487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41EFC974-F700-66FB-F45B-02BB352B7F53}"/>
              </a:ext>
            </a:extLst>
          </xdr:cNvPr>
          <xdr:cNvSpPr/>
        </xdr:nvSpPr>
        <xdr:spPr>
          <a:xfrm>
            <a:off x="3356429" y="15760893"/>
            <a:ext cx="771071" cy="854145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8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M</a:t>
            </a:r>
          </a:p>
        </xdr:txBody>
      </xdr:sp>
    </xdr:grpSp>
    <xdr:clientData/>
  </xdr:twoCellAnchor>
  <xdr:twoCellAnchor>
    <xdr:from>
      <xdr:col>16</xdr:col>
      <xdr:colOff>0</xdr:colOff>
      <xdr:row>10</xdr:row>
      <xdr:rowOff>5444</xdr:rowOff>
    </xdr:from>
    <xdr:to>
      <xdr:col>16</xdr:col>
      <xdr:colOff>0</xdr:colOff>
      <xdr:row>16</xdr:row>
      <xdr:rowOff>166913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4915155A-5CE2-574F-BC08-D2571CEF3966}"/>
            </a:ext>
          </a:extLst>
        </xdr:cNvPr>
        <xdr:cNvGrpSpPr/>
      </xdr:nvGrpSpPr>
      <xdr:grpSpPr>
        <a:xfrm>
          <a:off x="6299200" y="3942444"/>
          <a:ext cx="0" cy="2523669"/>
          <a:chOff x="3655786" y="1115787"/>
          <a:chExt cx="1914071" cy="2485569"/>
        </a:xfrm>
      </xdr:grpSpPr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ED9C24F7-0846-2B9F-4948-6DF5A4B99A78}"/>
              </a:ext>
            </a:extLst>
          </xdr:cNvPr>
          <xdr:cNvGrpSpPr/>
        </xdr:nvGrpSpPr>
        <xdr:grpSpPr>
          <a:xfrm>
            <a:off x="3655786" y="1115787"/>
            <a:ext cx="1914071" cy="2485569"/>
            <a:chOff x="6198908" y="1900224"/>
            <a:chExt cx="1311025" cy="1308641"/>
          </a:xfrm>
        </xdr:grpSpPr>
        <xdr:pic>
          <xdr:nvPicPr>
            <xdr:cNvPr id="45" name="Picture 44">
              <a:extLst>
                <a:ext uri="{FF2B5EF4-FFF2-40B4-BE49-F238E27FC236}">
                  <a16:creationId xmlns:a16="http://schemas.microsoft.com/office/drawing/2014/main" id="{A907C2CD-94E4-94F1-B50B-30AD3FADD8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48628B33-F863-79B9-A239-B6CA63546DF0}"/>
                </a:ext>
              </a:extLst>
            </xdr:cNvPr>
            <xdr:cNvSpPr/>
          </xdr:nvSpPr>
          <xdr:spPr>
            <a:xfrm>
              <a:off x="6198908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99ED6683-BC2A-F4F8-C37F-6582CF8E61DD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16</xdr:col>
      <xdr:colOff>0</xdr:colOff>
      <xdr:row>27</xdr:row>
      <xdr:rowOff>87083</xdr:rowOff>
    </xdr:from>
    <xdr:to>
      <xdr:col>16</xdr:col>
      <xdr:colOff>0</xdr:colOff>
      <xdr:row>33</xdr:row>
      <xdr:rowOff>68941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A878EC0C-687F-D344-A29B-94F00D46F765}"/>
            </a:ext>
          </a:extLst>
        </xdr:cNvPr>
        <xdr:cNvGrpSpPr/>
      </xdr:nvGrpSpPr>
      <xdr:grpSpPr>
        <a:xfrm>
          <a:off x="6299200" y="10716983"/>
          <a:ext cx="0" cy="2344058"/>
          <a:chOff x="12690315" y="11131003"/>
          <a:chExt cx="2052208" cy="2359298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EB45B899-2E73-E6C7-BFD5-61751861A076}"/>
              </a:ext>
            </a:extLst>
          </xdr:cNvPr>
          <xdr:cNvGrpSpPr/>
        </xdr:nvGrpSpPr>
        <xdr:grpSpPr>
          <a:xfrm>
            <a:off x="12690315" y="11131003"/>
            <a:ext cx="2052208" cy="2359298"/>
            <a:chOff x="4697150" y="4663166"/>
            <a:chExt cx="1949975" cy="1266768"/>
          </a:xfrm>
        </xdr:grpSpPr>
        <xdr:pic>
          <xdr:nvPicPr>
            <xdr:cNvPr id="50" name="Picture 49">
              <a:extLst>
                <a:ext uri="{FF2B5EF4-FFF2-40B4-BE49-F238E27FC236}">
                  <a16:creationId xmlns:a16="http://schemas.microsoft.com/office/drawing/2014/main" id="{B7CB2978-7FEA-3C31-E66A-362E6A4A37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697150" y="4664124"/>
              <a:ext cx="1932472" cy="1265810"/>
            </a:xfrm>
            <a:prstGeom prst="rect">
              <a:avLst/>
            </a:prstGeom>
          </xdr:spPr>
        </xdr:pic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FB63B71C-CEEA-0A5C-B6FC-FDC903271B12}"/>
                </a:ext>
              </a:extLst>
            </xdr:cNvPr>
            <xdr:cNvSpPr/>
          </xdr:nvSpPr>
          <xdr:spPr>
            <a:xfrm>
              <a:off x="4704394" y="4663166"/>
              <a:ext cx="1942731" cy="1256872"/>
            </a:xfrm>
            <a:prstGeom prst="rect">
              <a:avLst/>
            </a:prstGeom>
            <a:solidFill>
              <a:schemeClr val="accent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8532D345-1FD8-4FF2-DC7C-DD3A968BEB7B}"/>
              </a:ext>
            </a:extLst>
          </xdr:cNvPr>
          <xdr:cNvSpPr/>
        </xdr:nvSpPr>
        <xdr:spPr>
          <a:xfrm>
            <a:off x="13302706" y="11895558"/>
            <a:ext cx="980077" cy="866482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8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F</a:t>
            </a:r>
          </a:p>
        </xdr:txBody>
      </xdr:sp>
    </xdr:grpSp>
    <xdr:clientData/>
  </xdr:twoCellAnchor>
  <xdr:twoCellAnchor>
    <xdr:from>
      <xdr:col>16</xdr:col>
      <xdr:colOff>0</xdr:colOff>
      <xdr:row>11</xdr:row>
      <xdr:rowOff>22982</xdr:rowOff>
    </xdr:from>
    <xdr:to>
      <xdr:col>16</xdr:col>
      <xdr:colOff>0</xdr:colOff>
      <xdr:row>16</xdr:row>
      <xdr:rowOff>177197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1B7A1239-E203-CC48-8430-B95D1C29D38D}"/>
            </a:ext>
          </a:extLst>
        </xdr:cNvPr>
        <xdr:cNvGrpSpPr/>
      </xdr:nvGrpSpPr>
      <xdr:grpSpPr>
        <a:xfrm>
          <a:off x="6299200" y="4353682"/>
          <a:ext cx="0" cy="2122715"/>
          <a:chOff x="7403600" y="19633475"/>
          <a:chExt cx="1431609" cy="2135415"/>
        </a:xfrm>
      </xdr:grpSpPr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F3702E1C-3D4E-BDF8-CE7D-F8C238C8C34E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55" name="Picture 54">
              <a:extLst>
                <a:ext uri="{FF2B5EF4-FFF2-40B4-BE49-F238E27FC236}">
                  <a16:creationId xmlns:a16="http://schemas.microsoft.com/office/drawing/2014/main" id="{9F743BAF-01C7-54E1-2DEE-DA919F28339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EC105611-D6D8-89EB-BE28-F64275D74E02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CDF03F44-4BFC-0B9F-7C80-D72F2AE1C4BA}"/>
              </a:ext>
            </a:extLst>
          </xdr:cNvPr>
          <xdr:cNvSpPr/>
        </xdr:nvSpPr>
        <xdr:spPr>
          <a:xfrm>
            <a:off x="7800703" y="20388496"/>
            <a:ext cx="710837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16</xdr:col>
      <xdr:colOff>0</xdr:colOff>
      <xdr:row>10</xdr:row>
      <xdr:rowOff>32657</xdr:rowOff>
    </xdr:from>
    <xdr:to>
      <xdr:col>16</xdr:col>
      <xdr:colOff>0</xdr:colOff>
      <xdr:row>13</xdr:row>
      <xdr:rowOff>130629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75178C1E-25B7-E244-8CEE-7F319B5FFC59}"/>
            </a:ext>
          </a:extLst>
        </xdr:cNvPr>
        <xdr:cNvGrpSpPr/>
      </xdr:nvGrpSpPr>
      <xdr:grpSpPr>
        <a:xfrm>
          <a:off x="6299200" y="3969657"/>
          <a:ext cx="0" cy="1279072"/>
          <a:chOff x="486956" y="1091837"/>
          <a:chExt cx="1152433" cy="1261292"/>
        </a:xfrm>
      </xdr:grpSpPr>
      <xdr:grpSp>
        <xdr:nvGrpSpPr>
          <xdr:cNvPr id="58" name="Group 57">
            <a:extLst>
              <a:ext uri="{FF2B5EF4-FFF2-40B4-BE49-F238E27FC236}">
                <a16:creationId xmlns:a16="http://schemas.microsoft.com/office/drawing/2014/main" id="{C17910F8-705A-6568-4EE6-A1EFB213B2D9}"/>
              </a:ext>
            </a:extLst>
          </xdr:cNvPr>
          <xdr:cNvGrpSpPr/>
        </xdr:nvGrpSpPr>
        <xdr:grpSpPr>
          <a:xfrm>
            <a:off x="486956" y="1091837"/>
            <a:ext cx="1152433" cy="1261292"/>
            <a:chOff x="3253006" y="1912346"/>
            <a:chExt cx="1335928" cy="1313453"/>
          </a:xfrm>
          <a:solidFill>
            <a:schemeClr val="accent2">
              <a:lumMod val="75000"/>
            </a:schemeClr>
          </a:solidFill>
        </xdr:grpSpPr>
        <xdr:pic>
          <xdr:nvPicPr>
            <xdr:cNvPr id="60" name="Picture 59">
              <a:extLst>
                <a:ext uri="{FF2B5EF4-FFF2-40B4-BE49-F238E27FC236}">
                  <a16:creationId xmlns:a16="http://schemas.microsoft.com/office/drawing/2014/main" id="{5C4470E5-9A27-84AB-96B4-DA9838FF1A0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AF0F47C1-0F13-87D1-7867-1C580EFC9FEA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C7842D36-5D08-14E2-EE7F-D836C3FC73C4}"/>
              </a:ext>
            </a:extLst>
          </xdr:cNvPr>
          <xdr:cNvSpPr/>
        </xdr:nvSpPr>
        <xdr:spPr>
          <a:xfrm>
            <a:off x="759098" y="1331836"/>
            <a:ext cx="574765" cy="67861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16</xdr:col>
      <xdr:colOff>0</xdr:colOff>
      <xdr:row>21</xdr:row>
      <xdr:rowOff>90712</xdr:rowOff>
    </xdr:from>
    <xdr:to>
      <xdr:col>16</xdr:col>
      <xdr:colOff>0</xdr:colOff>
      <xdr:row>26</xdr:row>
      <xdr:rowOff>263069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1C773B12-F43B-894A-8FA7-E3E78E9F5BBA}"/>
            </a:ext>
          </a:extLst>
        </xdr:cNvPr>
        <xdr:cNvGrpSpPr/>
      </xdr:nvGrpSpPr>
      <xdr:grpSpPr>
        <a:xfrm>
          <a:off x="6299200" y="8358412"/>
          <a:ext cx="0" cy="2140857"/>
          <a:chOff x="9052922" y="10123712"/>
          <a:chExt cx="2123440" cy="2153557"/>
        </a:xfrm>
      </xdr:grpSpPr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73EA9836-2C57-7270-A9B7-3662A0940ABB}"/>
              </a:ext>
            </a:extLst>
          </xdr:cNvPr>
          <xdr:cNvGrpSpPr/>
        </xdr:nvGrpSpPr>
        <xdr:grpSpPr>
          <a:xfrm>
            <a:off x="9052922" y="10123712"/>
            <a:ext cx="2123440" cy="2153557"/>
            <a:chOff x="2166446" y="4637853"/>
            <a:chExt cx="1951819" cy="1297469"/>
          </a:xfrm>
        </xdr:grpSpPr>
        <xdr:pic>
          <xdr:nvPicPr>
            <xdr:cNvPr id="65" name="Picture 64">
              <a:extLst>
                <a:ext uri="{FF2B5EF4-FFF2-40B4-BE49-F238E27FC236}">
                  <a16:creationId xmlns:a16="http://schemas.microsoft.com/office/drawing/2014/main" id="{D91267FE-DC56-A7E7-9491-CB0DCB2CB6E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83009" y="4669512"/>
              <a:ext cx="1935256" cy="1265810"/>
            </a:xfrm>
            <a:prstGeom prst="rect">
              <a:avLst/>
            </a:prstGeom>
          </xdr:spPr>
        </xdr:pic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A89C6373-0701-255F-BD96-4992D05165FB}"/>
                </a:ext>
              </a:extLst>
            </xdr:cNvPr>
            <xdr:cNvSpPr/>
          </xdr:nvSpPr>
          <xdr:spPr>
            <a:xfrm>
              <a:off x="2166446" y="4637853"/>
              <a:ext cx="1943332" cy="1291924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013FA93B-7A65-27BC-9E38-F12C2FE4165C}"/>
              </a:ext>
            </a:extLst>
          </xdr:cNvPr>
          <xdr:cNvSpPr/>
        </xdr:nvSpPr>
        <xdr:spPr>
          <a:xfrm>
            <a:off x="9555117" y="10723338"/>
            <a:ext cx="901337" cy="96048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5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E</a:t>
            </a:r>
          </a:p>
        </xdr:txBody>
      </xdr:sp>
    </xdr:grpSp>
    <xdr:clientData/>
  </xdr:twoCellAnchor>
  <xdr:twoCellAnchor>
    <xdr:from>
      <xdr:col>16</xdr:col>
      <xdr:colOff>0</xdr:colOff>
      <xdr:row>23</xdr:row>
      <xdr:rowOff>192315</xdr:rowOff>
    </xdr:from>
    <xdr:to>
      <xdr:col>16</xdr:col>
      <xdr:colOff>0</xdr:colOff>
      <xdr:row>26</xdr:row>
      <xdr:rowOff>272143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44F12AB5-9D14-FA46-82AB-5286A0979FE9}"/>
            </a:ext>
          </a:extLst>
        </xdr:cNvPr>
        <xdr:cNvGrpSpPr/>
      </xdr:nvGrpSpPr>
      <xdr:grpSpPr>
        <a:xfrm>
          <a:off x="6299200" y="9247415"/>
          <a:ext cx="0" cy="1260928"/>
          <a:chOff x="9071066" y="14609355"/>
          <a:chExt cx="1330960" cy="1258388"/>
        </a:xfrm>
      </xdr:grpSpPr>
      <xdr:grpSp>
        <xdr:nvGrpSpPr>
          <xdr:cNvPr id="68" name="Group 67">
            <a:extLst>
              <a:ext uri="{FF2B5EF4-FFF2-40B4-BE49-F238E27FC236}">
                <a16:creationId xmlns:a16="http://schemas.microsoft.com/office/drawing/2014/main" id="{3B0EAA2E-C5DF-2E65-8A6D-473C4FC63EFC}"/>
              </a:ext>
            </a:extLst>
          </xdr:cNvPr>
          <xdr:cNvGrpSpPr/>
        </xdr:nvGrpSpPr>
        <xdr:grpSpPr>
          <a:xfrm>
            <a:off x="9071066" y="14609355"/>
            <a:ext cx="1330960" cy="1258388"/>
            <a:chOff x="4656034" y="4721593"/>
            <a:chExt cx="1973588" cy="1275182"/>
          </a:xfrm>
        </xdr:grpSpPr>
        <xdr:pic>
          <xdr:nvPicPr>
            <xdr:cNvPr id="70" name="Picture 69">
              <a:extLst>
                <a:ext uri="{FF2B5EF4-FFF2-40B4-BE49-F238E27FC236}">
                  <a16:creationId xmlns:a16="http://schemas.microsoft.com/office/drawing/2014/main" id="{ECAAA98F-05A2-2111-97C1-E2F9D28B2D2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697150" y="4730964"/>
              <a:ext cx="1932472" cy="1265810"/>
            </a:xfrm>
            <a:prstGeom prst="rect">
              <a:avLst/>
            </a:prstGeom>
          </xdr:spPr>
        </xdr:pic>
        <xdr:sp macro="" textlink="">
          <xdr:nvSpPr>
            <xdr:cNvPr id="71" name="Rectangle 70">
              <a:extLst>
                <a:ext uri="{FF2B5EF4-FFF2-40B4-BE49-F238E27FC236}">
                  <a16:creationId xmlns:a16="http://schemas.microsoft.com/office/drawing/2014/main" id="{234BE68B-4581-5722-B2F8-0B7D792BCC40}"/>
                </a:ext>
              </a:extLst>
            </xdr:cNvPr>
            <xdr:cNvSpPr/>
          </xdr:nvSpPr>
          <xdr:spPr>
            <a:xfrm>
              <a:off x="4656034" y="4721593"/>
              <a:ext cx="1973588" cy="1275182"/>
            </a:xfrm>
            <a:prstGeom prst="rect">
              <a:avLst/>
            </a:prstGeom>
            <a:solidFill>
              <a:schemeClr val="accent3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57DC746C-1E64-7C12-FE66-0706A2138CF5}"/>
              </a:ext>
            </a:extLst>
          </xdr:cNvPr>
          <xdr:cNvSpPr/>
        </xdr:nvSpPr>
        <xdr:spPr>
          <a:xfrm>
            <a:off x="9499600" y="14829823"/>
            <a:ext cx="48768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G</a:t>
            </a:r>
          </a:p>
        </xdr:txBody>
      </xdr:sp>
    </xdr:grpSp>
    <xdr:clientData/>
  </xdr:twoCellAnchor>
  <xdr:twoCellAnchor>
    <xdr:from>
      <xdr:col>16</xdr:col>
      <xdr:colOff>0</xdr:colOff>
      <xdr:row>38</xdr:row>
      <xdr:rowOff>284550</xdr:rowOff>
    </xdr:from>
    <xdr:to>
      <xdr:col>16</xdr:col>
      <xdr:colOff>0</xdr:colOff>
      <xdr:row>41</xdr:row>
      <xdr:rowOff>284479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2EF8636B-5550-8843-9DD8-E92B8FFFC4B1}"/>
            </a:ext>
          </a:extLst>
        </xdr:cNvPr>
        <xdr:cNvGrpSpPr/>
      </xdr:nvGrpSpPr>
      <xdr:grpSpPr>
        <a:xfrm>
          <a:off x="6299200" y="15245150"/>
          <a:ext cx="0" cy="1181029"/>
          <a:chOff x="1341121" y="18600490"/>
          <a:chExt cx="1087120" cy="1201349"/>
        </a:xfrm>
      </xdr:grpSpPr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B4C5A95C-CA9C-4034-30FA-F102394C5606}"/>
              </a:ext>
            </a:extLst>
          </xdr:cNvPr>
          <xdr:cNvGrpSpPr/>
        </xdr:nvGrpSpPr>
        <xdr:grpSpPr>
          <a:xfrm>
            <a:off x="1341121" y="18600490"/>
            <a:ext cx="1087120" cy="1201349"/>
            <a:chOff x="288607" y="2746443"/>
            <a:chExt cx="1672192" cy="820118"/>
          </a:xfrm>
        </xdr:grpSpPr>
        <xdr:pic>
          <xdr:nvPicPr>
            <xdr:cNvPr id="75" name="Picture 74">
              <a:extLst>
                <a:ext uri="{FF2B5EF4-FFF2-40B4-BE49-F238E27FC236}">
                  <a16:creationId xmlns:a16="http://schemas.microsoft.com/office/drawing/2014/main" id="{31733272-DEB6-2A11-DE15-0F5BF0AA1CD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6630" y="2746443"/>
              <a:ext cx="1648539" cy="820118"/>
            </a:xfrm>
            <a:prstGeom prst="rect">
              <a:avLst/>
            </a:prstGeom>
          </xdr:spPr>
        </xdr:pic>
        <xdr:sp macro="" textlink="">
          <xdr:nvSpPr>
            <xdr:cNvPr id="76" name="Rectangle 75">
              <a:extLst>
                <a:ext uri="{FF2B5EF4-FFF2-40B4-BE49-F238E27FC236}">
                  <a16:creationId xmlns:a16="http://schemas.microsoft.com/office/drawing/2014/main" id="{7CC9DC35-0337-E53F-AB82-4BE640303B26}"/>
                </a:ext>
              </a:extLst>
            </xdr:cNvPr>
            <xdr:cNvSpPr/>
          </xdr:nvSpPr>
          <xdr:spPr>
            <a:xfrm>
              <a:off x="288607" y="2748129"/>
              <a:ext cx="1672192" cy="797625"/>
            </a:xfrm>
            <a:prstGeom prst="rect">
              <a:avLst/>
            </a:prstGeom>
            <a:solidFill>
              <a:schemeClr val="accent6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DD5F6CF5-3A9C-1094-01AF-42EE22BDE9EA}"/>
              </a:ext>
            </a:extLst>
          </xdr:cNvPr>
          <xdr:cNvSpPr/>
        </xdr:nvSpPr>
        <xdr:spPr>
          <a:xfrm>
            <a:off x="1686560" y="18915796"/>
            <a:ext cx="375920" cy="603691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K</a:t>
            </a:r>
          </a:p>
        </xdr:txBody>
      </xdr:sp>
    </xdr:grpSp>
    <xdr:clientData/>
  </xdr:twoCellAnchor>
  <xdr:twoCellAnchor>
    <xdr:from>
      <xdr:col>16</xdr:col>
      <xdr:colOff>0</xdr:colOff>
      <xdr:row>13</xdr:row>
      <xdr:rowOff>192079</xdr:rowOff>
    </xdr:from>
    <xdr:to>
      <xdr:col>16</xdr:col>
      <xdr:colOff>0</xdr:colOff>
      <xdr:row>16</xdr:row>
      <xdr:rowOff>279400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7D8344D2-2876-0E41-ADCB-30339E6971D2}"/>
            </a:ext>
          </a:extLst>
        </xdr:cNvPr>
        <xdr:cNvGrpSpPr/>
      </xdr:nvGrpSpPr>
      <xdr:grpSpPr>
        <a:xfrm>
          <a:off x="6299200" y="5310179"/>
          <a:ext cx="0" cy="1268421"/>
          <a:chOff x="3647441" y="19785639"/>
          <a:chExt cx="1168400" cy="1265881"/>
        </a:xfrm>
      </xdr:grpSpPr>
      <xdr:grpSp>
        <xdr:nvGrpSpPr>
          <xdr:cNvPr id="78" name="Group 77">
            <a:extLst>
              <a:ext uri="{FF2B5EF4-FFF2-40B4-BE49-F238E27FC236}">
                <a16:creationId xmlns:a16="http://schemas.microsoft.com/office/drawing/2014/main" id="{DD697266-1484-4B74-B8F3-F4C1D3D3E0C4}"/>
              </a:ext>
            </a:extLst>
          </xdr:cNvPr>
          <xdr:cNvGrpSpPr/>
        </xdr:nvGrpSpPr>
        <xdr:grpSpPr>
          <a:xfrm>
            <a:off x="3647441" y="19785639"/>
            <a:ext cx="1168400" cy="1265881"/>
            <a:chOff x="3262466" y="1921933"/>
            <a:chExt cx="1326467" cy="1303866"/>
          </a:xfrm>
        </xdr:grpSpPr>
        <xdr:pic>
          <xdr:nvPicPr>
            <xdr:cNvPr id="80" name="Picture 79">
              <a:extLst>
                <a:ext uri="{FF2B5EF4-FFF2-40B4-BE49-F238E27FC236}">
                  <a16:creationId xmlns:a16="http://schemas.microsoft.com/office/drawing/2014/main" id="{396C3602-D97A-DF82-68C6-E139EC7D95F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81" name="Rectangle 80">
              <a:extLst>
                <a:ext uri="{FF2B5EF4-FFF2-40B4-BE49-F238E27FC236}">
                  <a16:creationId xmlns:a16="http://schemas.microsoft.com/office/drawing/2014/main" id="{FCB5C9E0-A148-2FB1-C731-6AE8EBA96D91}"/>
                </a:ext>
              </a:extLst>
            </xdr:cNvPr>
            <xdr:cNvSpPr/>
          </xdr:nvSpPr>
          <xdr:spPr>
            <a:xfrm>
              <a:off x="3262466" y="1928155"/>
              <a:ext cx="1326466" cy="1297643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DDE2A272-4208-4786-DAAD-9EECD7B3387E}"/>
              </a:ext>
            </a:extLst>
          </xdr:cNvPr>
          <xdr:cNvSpPr/>
        </xdr:nvSpPr>
        <xdr:spPr>
          <a:xfrm>
            <a:off x="3921760" y="20041903"/>
            <a:ext cx="51816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  <xdr:twoCellAnchor>
    <xdr:from>
      <xdr:col>63</xdr:col>
      <xdr:colOff>249204</xdr:colOff>
      <xdr:row>10</xdr:row>
      <xdr:rowOff>23900</xdr:rowOff>
    </xdr:from>
    <xdr:to>
      <xdr:col>78</xdr:col>
      <xdr:colOff>17392</xdr:colOff>
      <xdr:row>24</xdr:row>
      <xdr:rowOff>15465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77B7736D-2A5C-6744-9AC8-94906890F84F}"/>
            </a:ext>
          </a:extLst>
        </xdr:cNvPr>
        <xdr:cNvGrpSpPr/>
      </xdr:nvGrpSpPr>
      <xdr:grpSpPr>
        <a:xfrm>
          <a:off x="13255756" y="3965279"/>
          <a:ext cx="5680257" cy="5509496"/>
          <a:chOff x="7526753" y="3922351"/>
          <a:chExt cx="5673688" cy="5503365"/>
        </a:xfrm>
      </xdr:grpSpPr>
      <xdr:grpSp>
        <xdr:nvGrpSpPr>
          <xdr:cNvPr id="83" name="Group 82">
            <a:extLst>
              <a:ext uri="{FF2B5EF4-FFF2-40B4-BE49-F238E27FC236}">
                <a16:creationId xmlns:a16="http://schemas.microsoft.com/office/drawing/2014/main" id="{015DC553-59ED-D9FA-5571-4E7903A5574D}"/>
              </a:ext>
            </a:extLst>
          </xdr:cNvPr>
          <xdr:cNvGrpSpPr/>
        </xdr:nvGrpSpPr>
        <xdr:grpSpPr>
          <a:xfrm>
            <a:off x="9483451" y="5178955"/>
            <a:ext cx="968779" cy="1331869"/>
            <a:chOff x="471714" y="5025569"/>
            <a:chExt cx="2313215" cy="2440216"/>
          </a:xfrm>
        </xdr:grpSpPr>
        <xdr:grpSp>
          <xdr:nvGrpSpPr>
            <xdr:cNvPr id="145" name="Group 144">
              <a:extLst>
                <a:ext uri="{FF2B5EF4-FFF2-40B4-BE49-F238E27FC236}">
                  <a16:creationId xmlns:a16="http://schemas.microsoft.com/office/drawing/2014/main" id="{E84826CA-E44B-3366-F8BB-FFEC9D8DE763}"/>
                </a:ext>
              </a:extLst>
            </xdr:cNvPr>
            <xdr:cNvGrpSpPr/>
          </xdr:nvGrpSpPr>
          <xdr:grpSpPr>
            <a:xfrm>
              <a:off x="471714" y="5025569"/>
              <a:ext cx="2313215" cy="2440216"/>
              <a:chOff x="1803360" y="3495864"/>
              <a:chExt cx="3091221" cy="954136"/>
            </a:xfrm>
          </xdr:grpSpPr>
          <xdr:pic>
            <xdr:nvPicPr>
              <xdr:cNvPr id="147" name="Picture 146">
                <a:extLst>
                  <a:ext uri="{FF2B5EF4-FFF2-40B4-BE49-F238E27FC236}">
                    <a16:creationId xmlns:a16="http://schemas.microsoft.com/office/drawing/2014/main" id="{D3AC9AD4-F122-8356-DB4E-14424EB192F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813870" y="3496103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148" name="Rectangle 147">
                <a:extLst>
                  <a:ext uri="{FF2B5EF4-FFF2-40B4-BE49-F238E27FC236}">
                    <a16:creationId xmlns:a16="http://schemas.microsoft.com/office/drawing/2014/main" id="{D276C72D-076C-1FDC-1E34-0E707AF9EE4F}"/>
                  </a:ext>
                </a:extLst>
              </xdr:cNvPr>
              <xdr:cNvSpPr/>
            </xdr:nvSpPr>
            <xdr:spPr>
              <a:xfrm>
                <a:off x="1803360" y="3495864"/>
                <a:ext cx="3091221" cy="932854"/>
              </a:xfrm>
              <a:prstGeom prst="rect">
                <a:avLst/>
              </a:prstGeom>
              <a:solidFill>
                <a:srgbClr val="000000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16CDB303-F557-BBDD-A43B-D1D2B08CB332}"/>
                </a:ext>
              </a:extLst>
            </xdr:cNvPr>
            <xdr:cNvSpPr txBox="1"/>
          </xdr:nvSpPr>
          <xdr:spPr>
            <a:xfrm>
              <a:off x="1097642" y="5669644"/>
              <a:ext cx="807358" cy="1112355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clip" horzOverflow="clip" vert="horz" wrap="square" lIns="50800" tIns="50800" rIns="50800" bIns="50800" numCol="1" spcCol="38100" rtlCol="0" anchor="t">
              <a:spAutoFit/>
            </a:bodyPr>
            <a:lstStyle/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I</a:t>
              </a:r>
            </a:p>
          </xdr:txBody>
        </xdr:sp>
      </xdr:grp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9ACAA14C-7805-A4F6-5A4D-5950BF15BCCF}"/>
              </a:ext>
            </a:extLst>
          </xdr:cNvPr>
          <xdr:cNvGrpSpPr/>
        </xdr:nvGrpSpPr>
        <xdr:grpSpPr>
          <a:xfrm>
            <a:off x="10419235" y="4495269"/>
            <a:ext cx="2047070" cy="1604019"/>
            <a:chOff x="7415704" y="5252355"/>
            <a:chExt cx="3184873" cy="3056534"/>
          </a:xfrm>
        </xdr:grpSpPr>
        <xdr:grpSp>
          <xdr:nvGrpSpPr>
            <xdr:cNvPr id="141" name="Group 140">
              <a:extLst>
                <a:ext uri="{FF2B5EF4-FFF2-40B4-BE49-F238E27FC236}">
                  <a16:creationId xmlns:a16="http://schemas.microsoft.com/office/drawing/2014/main" id="{663D8EC2-6A60-7F1D-9564-1DA338275ABF}"/>
                </a:ext>
              </a:extLst>
            </xdr:cNvPr>
            <xdr:cNvGrpSpPr/>
          </xdr:nvGrpSpPr>
          <xdr:grpSpPr>
            <a:xfrm>
              <a:off x="7415704" y="5252355"/>
              <a:ext cx="3184873" cy="3056534"/>
              <a:chOff x="5969000" y="3563312"/>
              <a:chExt cx="3056466" cy="955052"/>
            </a:xfrm>
          </xdr:grpSpPr>
          <xdr:pic>
            <xdr:nvPicPr>
              <xdr:cNvPr id="143" name="Picture 142">
                <a:extLst>
                  <a:ext uri="{FF2B5EF4-FFF2-40B4-BE49-F238E27FC236}">
                    <a16:creationId xmlns:a16="http://schemas.microsoft.com/office/drawing/2014/main" id="{30FB4A12-2070-A635-CFC8-C467CB08676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5969000" y="3564467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144" name="Rectangle 143">
                <a:extLst>
                  <a:ext uri="{FF2B5EF4-FFF2-40B4-BE49-F238E27FC236}">
                    <a16:creationId xmlns:a16="http://schemas.microsoft.com/office/drawing/2014/main" id="{1E42C849-CE4C-51A2-D8ED-29430B29B148}"/>
                  </a:ext>
                </a:extLst>
              </xdr:cNvPr>
              <xdr:cNvSpPr/>
            </xdr:nvSpPr>
            <xdr:spPr>
              <a:xfrm>
                <a:off x="5982239" y="3563312"/>
                <a:ext cx="3038286" cy="926876"/>
              </a:xfrm>
              <a:prstGeom prst="rect">
                <a:avLst/>
              </a:prstGeom>
              <a:solidFill>
                <a:schemeClr val="accent1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42" name="Rectangle 141">
              <a:extLst>
                <a:ext uri="{FF2B5EF4-FFF2-40B4-BE49-F238E27FC236}">
                  <a16:creationId xmlns:a16="http://schemas.microsoft.com/office/drawing/2014/main" id="{5C2A0EE2-00E4-DCB0-A28E-FC91DFFD9501}"/>
                </a:ext>
              </a:extLst>
            </xdr:cNvPr>
            <xdr:cNvSpPr/>
          </xdr:nvSpPr>
          <xdr:spPr>
            <a:xfrm>
              <a:off x="8236858" y="5866530"/>
              <a:ext cx="1433285" cy="123001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7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J</a:t>
              </a:r>
            </a:p>
          </xdr:txBody>
        </xdr:sp>
      </xdr:grpSp>
      <xdr:grpSp>
        <xdr:nvGrpSpPr>
          <xdr:cNvPr id="85" name="Group 84">
            <a:extLst>
              <a:ext uri="{FF2B5EF4-FFF2-40B4-BE49-F238E27FC236}">
                <a16:creationId xmlns:a16="http://schemas.microsoft.com/office/drawing/2014/main" id="{F38CD025-96DD-388E-34D6-9CFE2B2F941D}"/>
              </a:ext>
            </a:extLst>
          </xdr:cNvPr>
          <xdr:cNvGrpSpPr/>
        </xdr:nvGrpSpPr>
        <xdr:grpSpPr>
          <a:xfrm rot="5400000">
            <a:off x="9626308" y="6023055"/>
            <a:ext cx="1020663" cy="1963306"/>
            <a:chOff x="4236358" y="10468429"/>
            <a:chExt cx="2450052" cy="2540000"/>
          </a:xfrm>
        </xdr:grpSpPr>
        <xdr:grpSp>
          <xdr:nvGrpSpPr>
            <xdr:cNvPr id="137" name="Group 136">
              <a:extLst>
                <a:ext uri="{FF2B5EF4-FFF2-40B4-BE49-F238E27FC236}">
                  <a16:creationId xmlns:a16="http://schemas.microsoft.com/office/drawing/2014/main" id="{09580FEC-E173-5B2D-0D06-B9EE7EB0C567}"/>
                </a:ext>
              </a:extLst>
            </xdr:cNvPr>
            <xdr:cNvGrpSpPr/>
          </xdr:nvGrpSpPr>
          <xdr:grpSpPr>
            <a:xfrm>
              <a:off x="4236358" y="10468429"/>
              <a:ext cx="2450052" cy="2540000"/>
              <a:chOff x="5969000" y="3564467"/>
              <a:chExt cx="3056466" cy="953897"/>
            </a:xfrm>
          </xdr:grpSpPr>
          <xdr:pic>
            <xdr:nvPicPr>
              <xdr:cNvPr id="139" name="Picture 138">
                <a:extLst>
                  <a:ext uri="{FF2B5EF4-FFF2-40B4-BE49-F238E27FC236}">
                    <a16:creationId xmlns:a16="http://schemas.microsoft.com/office/drawing/2014/main" id="{81257D89-03C6-63EF-B167-1375BD3C373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5969000" y="3564467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140" name="Rectangle 139">
                <a:extLst>
                  <a:ext uri="{FF2B5EF4-FFF2-40B4-BE49-F238E27FC236}">
                    <a16:creationId xmlns:a16="http://schemas.microsoft.com/office/drawing/2014/main" id="{A01FF3D4-16A6-FA2A-1AEB-397F5D746FEA}"/>
                  </a:ext>
                </a:extLst>
              </xdr:cNvPr>
              <xdr:cNvSpPr/>
            </xdr:nvSpPr>
            <xdr:spPr>
              <a:xfrm>
                <a:off x="5980316" y="3564467"/>
                <a:ext cx="3044193" cy="926643"/>
              </a:xfrm>
              <a:prstGeom prst="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38" name="Rectangle 137">
              <a:extLst>
                <a:ext uri="{FF2B5EF4-FFF2-40B4-BE49-F238E27FC236}">
                  <a16:creationId xmlns:a16="http://schemas.microsoft.com/office/drawing/2014/main" id="{0E7B6636-656F-0627-5E2F-828D692C3ED3}"/>
                </a:ext>
              </a:extLst>
            </xdr:cNvPr>
            <xdr:cNvSpPr/>
          </xdr:nvSpPr>
          <xdr:spPr>
            <a:xfrm rot="16200000">
              <a:off x="5172569" y="10740886"/>
              <a:ext cx="513355" cy="1759228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5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H</a:t>
              </a:r>
            </a:p>
          </xdr:txBody>
        </xdr:sp>
      </xdr:grpSp>
      <xdr:grpSp>
        <xdr:nvGrpSpPr>
          <xdr:cNvPr id="86" name="Group 85">
            <a:extLst>
              <a:ext uri="{FF2B5EF4-FFF2-40B4-BE49-F238E27FC236}">
                <a16:creationId xmlns:a16="http://schemas.microsoft.com/office/drawing/2014/main" id="{6A88717B-EF9A-E75B-3610-8E9601E1F090}"/>
              </a:ext>
            </a:extLst>
          </xdr:cNvPr>
          <xdr:cNvGrpSpPr/>
        </xdr:nvGrpSpPr>
        <xdr:grpSpPr>
          <a:xfrm>
            <a:off x="9488713" y="7523614"/>
            <a:ext cx="1628861" cy="900057"/>
            <a:chOff x="414384" y="10664222"/>
            <a:chExt cx="2616365" cy="2538697"/>
          </a:xfrm>
        </xdr:grpSpPr>
        <xdr:grpSp>
          <xdr:nvGrpSpPr>
            <xdr:cNvPr id="133" name="Group 132">
              <a:extLst>
                <a:ext uri="{FF2B5EF4-FFF2-40B4-BE49-F238E27FC236}">
                  <a16:creationId xmlns:a16="http://schemas.microsoft.com/office/drawing/2014/main" id="{C68E659D-BB8A-C12F-9B2B-2D5C49B7A5A8}"/>
                </a:ext>
              </a:extLst>
            </xdr:cNvPr>
            <xdr:cNvGrpSpPr/>
          </xdr:nvGrpSpPr>
          <xdr:grpSpPr>
            <a:xfrm>
              <a:off x="414384" y="10664222"/>
              <a:ext cx="2616365" cy="2538697"/>
              <a:chOff x="279697" y="1629743"/>
              <a:chExt cx="1648539" cy="820118"/>
            </a:xfrm>
          </xdr:grpSpPr>
          <xdr:pic>
            <xdr:nvPicPr>
              <xdr:cNvPr id="135" name="Picture 134">
                <a:extLst>
                  <a:ext uri="{FF2B5EF4-FFF2-40B4-BE49-F238E27FC236}">
                    <a16:creationId xmlns:a16="http://schemas.microsoft.com/office/drawing/2014/main" id="{412BD93A-3857-F63D-3E63-B0ED7BFDE65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79697" y="16297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136" name="Rectangle 135">
                <a:extLst>
                  <a:ext uri="{FF2B5EF4-FFF2-40B4-BE49-F238E27FC236}">
                    <a16:creationId xmlns:a16="http://schemas.microsoft.com/office/drawing/2014/main" id="{94F0CE2C-D54D-C05D-3949-DD7D2EBBD766}"/>
                  </a:ext>
                </a:extLst>
              </xdr:cNvPr>
              <xdr:cNvSpPr/>
            </xdr:nvSpPr>
            <xdr:spPr>
              <a:xfrm>
                <a:off x="291292" y="1633012"/>
                <a:ext cx="1623386" cy="790019"/>
              </a:xfrm>
              <a:prstGeom prst="rect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34" name="Rectangle 133">
              <a:extLst>
                <a:ext uri="{FF2B5EF4-FFF2-40B4-BE49-F238E27FC236}">
                  <a16:creationId xmlns:a16="http://schemas.microsoft.com/office/drawing/2014/main" id="{13743A2D-9D1B-C343-7160-B967A95E7066}"/>
                </a:ext>
              </a:extLst>
            </xdr:cNvPr>
            <xdr:cNvSpPr/>
          </xdr:nvSpPr>
          <xdr:spPr>
            <a:xfrm>
              <a:off x="1215934" y="11139035"/>
              <a:ext cx="1019265" cy="1154523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L</a:t>
              </a:r>
            </a:p>
          </xdr:txBody>
        </xdr:sp>
      </xdr:grpSp>
      <xdr:grpSp>
        <xdr:nvGrpSpPr>
          <xdr:cNvPr id="87" name="Group 86">
            <a:extLst>
              <a:ext uri="{FF2B5EF4-FFF2-40B4-BE49-F238E27FC236}">
                <a16:creationId xmlns:a16="http://schemas.microsoft.com/office/drawing/2014/main" id="{BE024A62-F8A9-FFC3-A61D-0871ADEA214F}"/>
              </a:ext>
            </a:extLst>
          </xdr:cNvPr>
          <xdr:cNvGrpSpPr/>
        </xdr:nvGrpSpPr>
        <xdr:grpSpPr>
          <a:xfrm>
            <a:off x="11135984" y="8122644"/>
            <a:ext cx="2064457" cy="1303072"/>
            <a:chOff x="2558143" y="14769568"/>
            <a:chExt cx="2603500" cy="3264432"/>
          </a:xfrm>
        </xdr:grpSpPr>
        <xdr:grpSp>
          <xdr:nvGrpSpPr>
            <xdr:cNvPr id="129" name="Group 128">
              <a:extLst>
                <a:ext uri="{FF2B5EF4-FFF2-40B4-BE49-F238E27FC236}">
                  <a16:creationId xmlns:a16="http://schemas.microsoft.com/office/drawing/2014/main" id="{52153B5A-D2AD-9CB9-400D-5E0073695AC1}"/>
                </a:ext>
              </a:extLst>
            </xdr:cNvPr>
            <xdr:cNvGrpSpPr/>
          </xdr:nvGrpSpPr>
          <xdr:grpSpPr>
            <a:xfrm>
              <a:off x="2558143" y="14769568"/>
              <a:ext cx="2603500" cy="3264432"/>
              <a:chOff x="278210" y="2746443"/>
              <a:chExt cx="1666959" cy="820118"/>
            </a:xfrm>
          </xdr:grpSpPr>
          <xdr:pic>
            <xdr:nvPicPr>
              <xdr:cNvPr id="131" name="Picture 130">
                <a:extLst>
                  <a:ext uri="{FF2B5EF4-FFF2-40B4-BE49-F238E27FC236}">
                    <a16:creationId xmlns:a16="http://schemas.microsoft.com/office/drawing/2014/main" id="{8C6DAC44-B869-091B-7B1A-8C6B8814E73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96630" y="27464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132" name="Rectangle 131">
                <a:extLst>
                  <a:ext uri="{FF2B5EF4-FFF2-40B4-BE49-F238E27FC236}">
                    <a16:creationId xmlns:a16="http://schemas.microsoft.com/office/drawing/2014/main" id="{C8A8E6AB-250E-BCD9-F489-7019D86BBD34}"/>
                  </a:ext>
                </a:extLst>
              </xdr:cNvPr>
              <xdr:cNvSpPr/>
            </xdr:nvSpPr>
            <xdr:spPr>
              <a:xfrm>
                <a:off x="278210" y="2748400"/>
                <a:ext cx="1661150" cy="804487"/>
              </a:xfrm>
              <a:prstGeom prst="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30" name="Rectangle 129">
              <a:extLst>
                <a:ext uri="{FF2B5EF4-FFF2-40B4-BE49-F238E27FC236}">
                  <a16:creationId xmlns:a16="http://schemas.microsoft.com/office/drawing/2014/main" id="{D2BB7C5A-302C-0E03-D10F-EA2C9C41639F}"/>
                </a:ext>
              </a:extLst>
            </xdr:cNvPr>
            <xdr:cNvSpPr/>
          </xdr:nvSpPr>
          <xdr:spPr>
            <a:xfrm>
              <a:off x="3356430" y="15760893"/>
              <a:ext cx="771071" cy="85414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M</a:t>
              </a:r>
            </a:p>
          </xdr:txBody>
        </xdr:sp>
      </xdr:grpSp>
      <xdr:grpSp>
        <xdr:nvGrpSpPr>
          <xdr:cNvPr id="88" name="Group 87">
            <a:extLst>
              <a:ext uri="{FF2B5EF4-FFF2-40B4-BE49-F238E27FC236}">
                <a16:creationId xmlns:a16="http://schemas.microsoft.com/office/drawing/2014/main" id="{084CD673-159B-EF46-FD9F-114CDD1ED243}"/>
              </a:ext>
            </a:extLst>
          </xdr:cNvPr>
          <xdr:cNvGrpSpPr/>
        </xdr:nvGrpSpPr>
        <xdr:grpSpPr>
          <a:xfrm>
            <a:off x="9401935" y="3928477"/>
            <a:ext cx="1068405" cy="1250186"/>
            <a:chOff x="3613420" y="1115787"/>
            <a:chExt cx="1956428" cy="2485569"/>
          </a:xfrm>
        </xdr:grpSpPr>
        <xdr:grpSp>
          <xdr:nvGrpSpPr>
            <xdr:cNvPr id="125" name="Group 124">
              <a:extLst>
                <a:ext uri="{FF2B5EF4-FFF2-40B4-BE49-F238E27FC236}">
                  <a16:creationId xmlns:a16="http://schemas.microsoft.com/office/drawing/2014/main" id="{BD7E90A2-22B4-A43A-82DB-17872ACEA632}"/>
                </a:ext>
              </a:extLst>
            </xdr:cNvPr>
            <xdr:cNvGrpSpPr/>
          </xdr:nvGrpSpPr>
          <xdr:grpSpPr>
            <a:xfrm>
              <a:off x="3613420" y="1115787"/>
              <a:ext cx="1956428" cy="2485569"/>
              <a:chOff x="6169895" y="1900224"/>
              <a:chExt cx="1340038" cy="1308641"/>
            </a:xfrm>
          </xdr:grpSpPr>
          <xdr:pic>
            <xdr:nvPicPr>
              <xdr:cNvPr id="127" name="Picture 126">
                <a:extLst>
                  <a:ext uri="{FF2B5EF4-FFF2-40B4-BE49-F238E27FC236}">
                    <a16:creationId xmlns:a16="http://schemas.microsoft.com/office/drawing/2014/main" id="{447AD819-3DEF-B823-8D07-699252E87B8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06067" y="1904999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128" name="Rectangle 127">
                <a:extLst>
                  <a:ext uri="{FF2B5EF4-FFF2-40B4-BE49-F238E27FC236}">
                    <a16:creationId xmlns:a16="http://schemas.microsoft.com/office/drawing/2014/main" id="{BC0AD3BA-1598-4144-2881-7DF15272E67B}"/>
                  </a:ext>
                </a:extLst>
              </xdr:cNvPr>
              <xdr:cNvSpPr/>
            </xdr:nvSpPr>
            <xdr:spPr>
              <a:xfrm>
                <a:off x="6169895" y="1900224"/>
                <a:ext cx="1304812" cy="1294313"/>
              </a:xfrm>
              <a:prstGeom prst="rect">
                <a:avLst/>
              </a:prstGeom>
              <a:solidFill>
                <a:schemeClr val="bg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26" name="Rectangle 125">
              <a:extLst>
                <a:ext uri="{FF2B5EF4-FFF2-40B4-BE49-F238E27FC236}">
                  <a16:creationId xmlns:a16="http://schemas.microsoft.com/office/drawing/2014/main" id="{781BA702-9FBD-C8EC-6E30-3D6181AAC4AD}"/>
                </a:ext>
              </a:extLst>
            </xdr:cNvPr>
            <xdr:cNvSpPr/>
          </xdr:nvSpPr>
          <xdr:spPr>
            <a:xfrm>
              <a:off x="4172856" y="1940114"/>
              <a:ext cx="889000" cy="79156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D</a:t>
              </a:r>
            </a:p>
          </xdr:txBody>
        </xdr:sp>
      </xdr:grpSp>
      <xdr:grpSp>
        <xdr:nvGrpSpPr>
          <xdr:cNvPr id="89" name="Group 88">
            <a:extLst>
              <a:ext uri="{FF2B5EF4-FFF2-40B4-BE49-F238E27FC236}">
                <a16:creationId xmlns:a16="http://schemas.microsoft.com/office/drawing/2014/main" id="{4B85F048-1910-68EB-147A-F7DCEB1695BF}"/>
              </a:ext>
            </a:extLst>
          </xdr:cNvPr>
          <xdr:cNvGrpSpPr/>
        </xdr:nvGrpSpPr>
        <xdr:grpSpPr>
          <a:xfrm rot="16200000">
            <a:off x="10635897" y="6916873"/>
            <a:ext cx="1645710" cy="785945"/>
            <a:chOff x="12690315" y="10898634"/>
            <a:chExt cx="2052208" cy="2860331"/>
          </a:xfrm>
        </xdr:grpSpPr>
        <xdr:grpSp>
          <xdr:nvGrpSpPr>
            <xdr:cNvPr id="121" name="Group 120">
              <a:extLst>
                <a:ext uri="{FF2B5EF4-FFF2-40B4-BE49-F238E27FC236}">
                  <a16:creationId xmlns:a16="http://schemas.microsoft.com/office/drawing/2014/main" id="{76AD38AB-E5AE-4783-D6E4-A44B1FF3B6F9}"/>
                </a:ext>
              </a:extLst>
            </xdr:cNvPr>
            <xdr:cNvGrpSpPr/>
          </xdr:nvGrpSpPr>
          <xdr:grpSpPr>
            <a:xfrm>
              <a:off x="12690315" y="11131003"/>
              <a:ext cx="2052208" cy="2359298"/>
              <a:chOff x="4697150" y="4663166"/>
              <a:chExt cx="1949975" cy="1266768"/>
            </a:xfrm>
          </xdr:grpSpPr>
          <xdr:pic>
            <xdr:nvPicPr>
              <xdr:cNvPr id="123" name="Picture 122">
                <a:extLst>
                  <a:ext uri="{FF2B5EF4-FFF2-40B4-BE49-F238E27FC236}">
                    <a16:creationId xmlns:a16="http://schemas.microsoft.com/office/drawing/2014/main" id="{4028C104-5EAC-6B31-DFA0-8AC6DD855AA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4697150" y="4664124"/>
                <a:ext cx="1932472" cy="1265810"/>
              </a:xfrm>
              <a:prstGeom prst="rect">
                <a:avLst/>
              </a:prstGeom>
            </xdr:spPr>
          </xdr:pic>
          <xdr:sp macro="" textlink="">
            <xdr:nvSpPr>
              <xdr:cNvPr id="124" name="Rectangle 123">
                <a:extLst>
                  <a:ext uri="{FF2B5EF4-FFF2-40B4-BE49-F238E27FC236}">
                    <a16:creationId xmlns:a16="http://schemas.microsoft.com/office/drawing/2014/main" id="{6E2ACA97-2DC8-8BDC-9B74-CA2084786E6F}"/>
                  </a:ext>
                </a:extLst>
              </xdr:cNvPr>
              <xdr:cNvSpPr/>
            </xdr:nvSpPr>
            <xdr:spPr>
              <a:xfrm>
                <a:off x="4704394" y="4663166"/>
                <a:ext cx="1942731" cy="1256872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22" name="Rectangle 121">
              <a:extLst>
                <a:ext uri="{FF2B5EF4-FFF2-40B4-BE49-F238E27FC236}">
                  <a16:creationId xmlns:a16="http://schemas.microsoft.com/office/drawing/2014/main" id="{F8AC9AA9-84B1-6CF3-4160-D31C52344A5B}"/>
                </a:ext>
              </a:extLst>
            </xdr:cNvPr>
            <xdr:cNvSpPr/>
          </xdr:nvSpPr>
          <xdr:spPr>
            <a:xfrm rot="5400000">
              <a:off x="12362579" y="12180352"/>
              <a:ext cx="2860331" cy="296896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F</a:t>
              </a:r>
            </a:p>
          </xdr:txBody>
        </xdr:sp>
      </xdr:grpSp>
      <xdr:grpSp>
        <xdr:nvGrpSpPr>
          <xdr:cNvPr id="90" name="Group 89">
            <a:extLst>
              <a:ext uri="{FF2B5EF4-FFF2-40B4-BE49-F238E27FC236}">
                <a16:creationId xmlns:a16="http://schemas.microsoft.com/office/drawing/2014/main" id="{D538FF0E-B835-9A34-D0AD-467A8234BC8D}"/>
              </a:ext>
            </a:extLst>
          </xdr:cNvPr>
          <xdr:cNvGrpSpPr/>
        </xdr:nvGrpSpPr>
        <xdr:grpSpPr>
          <a:xfrm>
            <a:off x="7526753" y="3922986"/>
            <a:ext cx="1067835" cy="840489"/>
            <a:chOff x="7403600" y="19633475"/>
            <a:chExt cx="1431609" cy="2135415"/>
          </a:xfrm>
        </xdr:grpSpPr>
        <xdr:grpSp>
          <xdr:nvGrpSpPr>
            <xdr:cNvPr id="117" name="Group 116">
              <a:extLst>
                <a:ext uri="{FF2B5EF4-FFF2-40B4-BE49-F238E27FC236}">
                  <a16:creationId xmlns:a16="http://schemas.microsoft.com/office/drawing/2014/main" id="{85993D92-E8C9-2764-1185-E2C2473CEF1B}"/>
                </a:ext>
              </a:extLst>
            </xdr:cNvPr>
            <xdr:cNvGrpSpPr/>
          </xdr:nvGrpSpPr>
          <xdr:grpSpPr>
            <a:xfrm>
              <a:off x="7403600" y="19633475"/>
              <a:ext cx="1431609" cy="2135415"/>
              <a:chOff x="6206067" y="1900075"/>
              <a:chExt cx="1303867" cy="1308790"/>
            </a:xfrm>
          </xdr:grpSpPr>
          <xdr:pic>
            <xdr:nvPicPr>
              <xdr:cNvPr id="119" name="Picture 118">
                <a:extLst>
                  <a:ext uri="{FF2B5EF4-FFF2-40B4-BE49-F238E27FC236}">
                    <a16:creationId xmlns:a16="http://schemas.microsoft.com/office/drawing/2014/main" id="{9392DF5A-88F9-73F2-359F-CDF6A05D5F5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06067" y="1904999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120" name="Rectangle 119">
                <a:extLst>
                  <a:ext uri="{FF2B5EF4-FFF2-40B4-BE49-F238E27FC236}">
                    <a16:creationId xmlns:a16="http://schemas.microsoft.com/office/drawing/2014/main" id="{C5D85C41-30FF-B5D4-335E-0F8348F979D5}"/>
                  </a:ext>
                </a:extLst>
              </xdr:cNvPr>
              <xdr:cNvSpPr/>
            </xdr:nvSpPr>
            <xdr:spPr>
              <a:xfrm>
                <a:off x="6206868" y="1900075"/>
                <a:ext cx="1303066" cy="1291865"/>
              </a:xfrm>
              <a:prstGeom prst="rect">
                <a:avLst/>
              </a:prstGeom>
              <a:solidFill>
                <a:schemeClr val="accent4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18" name="Rectangle 117">
              <a:extLst>
                <a:ext uri="{FF2B5EF4-FFF2-40B4-BE49-F238E27FC236}">
                  <a16:creationId xmlns:a16="http://schemas.microsoft.com/office/drawing/2014/main" id="{834042E8-8101-63B4-6036-75595BBBA308}"/>
                </a:ext>
              </a:extLst>
            </xdr:cNvPr>
            <xdr:cNvSpPr/>
          </xdr:nvSpPr>
          <xdr:spPr>
            <a:xfrm>
              <a:off x="7800705" y="20388497"/>
              <a:ext cx="710837" cy="803900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B</a:t>
              </a:r>
            </a:p>
          </xdr:txBody>
        </xdr:sp>
      </xdr:grpSp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69513852-7BE0-7A7A-44F9-4B6988D3FB09}"/>
              </a:ext>
            </a:extLst>
          </xdr:cNvPr>
          <xdr:cNvGrpSpPr/>
        </xdr:nvGrpSpPr>
        <xdr:grpSpPr>
          <a:xfrm>
            <a:off x="8596149" y="3922351"/>
            <a:ext cx="810298" cy="437991"/>
            <a:chOff x="486956" y="1091837"/>
            <a:chExt cx="1152433" cy="1261292"/>
          </a:xfrm>
        </xdr:grpSpPr>
        <xdr:grpSp>
          <xdr:nvGrpSpPr>
            <xdr:cNvPr id="113" name="Group 112">
              <a:extLst>
                <a:ext uri="{FF2B5EF4-FFF2-40B4-BE49-F238E27FC236}">
                  <a16:creationId xmlns:a16="http://schemas.microsoft.com/office/drawing/2014/main" id="{E253ECE6-EFF4-B9A1-5345-5327251786C3}"/>
                </a:ext>
              </a:extLst>
            </xdr:cNvPr>
            <xdr:cNvGrpSpPr/>
          </xdr:nvGrpSpPr>
          <xdr:grpSpPr>
            <a:xfrm>
              <a:off x="486956" y="1091837"/>
              <a:ext cx="1152433" cy="1261292"/>
              <a:chOff x="3253006" y="1912346"/>
              <a:chExt cx="1335928" cy="1313453"/>
            </a:xfrm>
            <a:solidFill>
              <a:schemeClr val="accent2">
                <a:lumMod val="75000"/>
              </a:schemeClr>
            </a:solidFill>
          </xdr:grpSpPr>
          <xdr:pic>
            <xdr:nvPicPr>
              <xdr:cNvPr id="115" name="Picture 114">
                <a:extLst>
                  <a:ext uri="{FF2B5EF4-FFF2-40B4-BE49-F238E27FC236}">
                    <a16:creationId xmlns:a16="http://schemas.microsoft.com/office/drawing/2014/main" id="{07E33A50-AF04-50CA-DC1E-4CE4274C463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285067" y="1921933"/>
                <a:ext cx="1303866" cy="1303866"/>
              </a:xfrm>
              <a:prstGeom prst="rect">
                <a:avLst/>
              </a:prstGeom>
              <a:grpFill/>
            </xdr:spPr>
          </xdr:pic>
          <xdr:sp macro="" textlink="">
            <xdr:nvSpPr>
              <xdr:cNvPr id="116" name="Rectangle 115">
                <a:extLst>
                  <a:ext uri="{FF2B5EF4-FFF2-40B4-BE49-F238E27FC236}">
                    <a16:creationId xmlns:a16="http://schemas.microsoft.com/office/drawing/2014/main" id="{A37AF800-7759-606B-6CB4-3B600170E256}"/>
                  </a:ext>
                </a:extLst>
              </xdr:cNvPr>
              <xdr:cNvSpPr/>
            </xdr:nvSpPr>
            <xdr:spPr>
              <a:xfrm>
                <a:off x="3253006" y="1912346"/>
                <a:ext cx="1335928" cy="1284690"/>
              </a:xfrm>
              <a:prstGeom prst="rect">
                <a:avLst/>
              </a:prstGeom>
              <a:grpFill/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14" name="Rectangle 113">
              <a:extLst>
                <a:ext uri="{FF2B5EF4-FFF2-40B4-BE49-F238E27FC236}">
                  <a16:creationId xmlns:a16="http://schemas.microsoft.com/office/drawing/2014/main" id="{D87EFE0A-61DA-86C7-B095-E23E047CB550}"/>
                </a:ext>
              </a:extLst>
            </xdr:cNvPr>
            <xdr:cNvSpPr/>
          </xdr:nvSpPr>
          <xdr:spPr>
            <a:xfrm>
              <a:off x="759099" y="1331835"/>
              <a:ext cx="574764" cy="678610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C</a:t>
              </a:r>
            </a:p>
          </xdr:txBody>
        </xdr:sp>
      </xdr:grpSp>
      <xdr:grpSp>
        <xdr:nvGrpSpPr>
          <xdr:cNvPr id="92" name="Group 91">
            <a:extLst>
              <a:ext uri="{FF2B5EF4-FFF2-40B4-BE49-F238E27FC236}">
                <a16:creationId xmlns:a16="http://schemas.microsoft.com/office/drawing/2014/main" id="{09ACCA35-AEB8-97CD-1A4D-3F978D2C023B}"/>
              </a:ext>
            </a:extLst>
          </xdr:cNvPr>
          <xdr:cNvGrpSpPr/>
        </xdr:nvGrpSpPr>
        <xdr:grpSpPr>
          <a:xfrm>
            <a:off x="11771266" y="6084378"/>
            <a:ext cx="1279017" cy="846269"/>
            <a:chOff x="9052922" y="10123712"/>
            <a:chExt cx="2123440" cy="2153557"/>
          </a:xfrm>
        </xdr:grpSpPr>
        <xdr:grpSp>
          <xdr:nvGrpSpPr>
            <xdr:cNvPr id="109" name="Group 108">
              <a:extLst>
                <a:ext uri="{FF2B5EF4-FFF2-40B4-BE49-F238E27FC236}">
                  <a16:creationId xmlns:a16="http://schemas.microsoft.com/office/drawing/2014/main" id="{E22EB942-9181-49E1-76FA-AE34F616BB72}"/>
                </a:ext>
              </a:extLst>
            </xdr:cNvPr>
            <xdr:cNvGrpSpPr/>
          </xdr:nvGrpSpPr>
          <xdr:grpSpPr>
            <a:xfrm>
              <a:off x="9052922" y="10123712"/>
              <a:ext cx="2123440" cy="2153557"/>
              <a:chOff x="2166446" y="4637853"/>
              <a:chExt cx="1951819" cy="1297469"/>
            </a:xfrm>
          </xdr:grpSpPr>
          <xdr:pic>
            <xdr:nvPicPr>
              <xdr:cNvPr id="111" name="Picture 110">
                <a:extLst>
                  <a:ext uri="{FF2B5EF4-FFF2-40B4-BE49-F238E27FC236}">
                    <a16:creationId xmlns:a16="http://schemas.microsoft.com/office/drawing/2014/main" id="{ACE9B0CD-9170-2B83-DA87-1026BE502BC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2183009" y="4669512"/>
                <a:ext cx="1935256" cy="1265810"/>
              </a:xfrm>
              <a:prstGeom prst="rect">
                <a:avLst/>
              </a:prstGeom>
            </xdr:spPr>
          </xdr:pic>
          <xdr:sp macro="" textlink="">
            <xdr:nvSpPr>
              <xdr:cNvPr id="112" name="Rectangle 111">
                <a:extLst>
                  <a:ext uri="{FF2B5EF4-FFF2-40B4-BE49-F238E27FC236}">
                    <a16:creationId xmlns:a16="http://schemas.microsoft.com/office/drawing/2014/main" id="{81236BEE-63B3-CADF-A6EA-9531F332CEC0}"/>
                  </a:ext>
                </a:extLst>
              </xdr:cNvPr>
              <xdr:cNvSpPr/>
            </xdr:nvSpPr>
            <xdr:spPr>
              <a:xfrm>
                <a:off x="2166446" y="4637853"/>
                <a:ext cx="1943332" cy="1291924"/>
              </a:xfrm>
              <a:prstGeom prst="rect">
                <a:avLst/>
              </a:prstGeom>
              <a:solidFill>
                <a:schemeClr val="accent6">
                  <a:lumMod val="20000"/>
                  <a:lumOff val="8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10" name="Rectangle 109">
              <a:extLst>
                <a:ext uri="{FF2B5EF4-FFF2-40B4-BE49-F238E27FC236}">
                  <a16:creationId xmlns:a16="http://schemas.microsoft.com/office/drawing/2014/main" id="{1B8BF59F-4CED-70AE-0BE4-9827AA13A748}"/>
                </a:ext>
              </a:extLst>
            </xdr:cNvPr>
            <xdr:cNvSpPr/>
          </xdr:nvSpPr>
          <xdr:spPr>
            <a:xfrm>
              <a:off x="9555115" y="10361185"/>
              <a:ext cx="1144096" cy="162477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E</a:t>
              </a:r>
            </a:p>
          </xdr:txBody>
        </xdr:sp>
      </xdr:grpSp>
      <xdr:grpSp>
        <xdr:nvGrpSpPr>
          <xdr:cNvPr id="93" name="Group 92">
            <a:extLst>
              <a:ext uri="{FF2B5EF4-FFF2-40B4-BE49-F238E27FC236}">
                <a16:creationId xmlns:a16="http://schemas.microsoft.com/office/drawing/2014/main" id="{5206D451-F569-6D9F-C41F-3A7286B33B7E}"/>
              </a:ext>
            </a:extLst>
          </xdr:cNvPr>
          <xdr:cNvGrpSpPr/>
        </xdr:nvGrpSpPr>
        <xdr:grpSpPr>
          <a:xfrm>
            <a:off x="10459647" y="6055977"/>
            <a:ext cx="1308001" cy="430525"/>
            <a:chOff x="9071066" y="14609355"/>
            <a:chExt cx="1330960" cy="1258388"/>
          </a:xfrm>
        </xdr:grpSpPr>
        <xdr:grpSp>
          <xdr:nvGrpSpPr>
            <xdr:cNvPr id="105" name="Group 104">
              <a:extLst>
                <a:ext uri="{FF2B5EF4-FFF2-40B4-BE49-F238E27FC236}">
                  <a16:creationId xmlns:a16="http://schemas.microsoft.com/office/drawing/2014/main" id="{6AF7BF23-3410-AE67-0271-A26ADF506116}"/>
                </a:ext>
              </a:extLst>
            </xdr:cNvPr>
            <xdr:cNvGrpSpPr/>
          </xdr:nvGrpSpPr>
          <xdr:grpSpPr>
            <a:xfrm>
              <a:off x="9071066" y="14609355"/>
              <a:ext cx="1330960" cy="1258388"/>
              <a:chOff x="4656034" y="4721593"/>
              <a:chExt cx="1973588" cy="1275182"/>
            </a:xfrm>
          </xdr:grpSpPr>
          <xdr:pic>
            <xdr:nvPicPr>
              <xdr:cNvPr id="107" name="Picture 106">
                <a:extLst>
                  <a:ext uri="{FF2B5EF4-FFF2-40B4-BE49-F238E27FC236}">
                    <a16:creationId xmlns:a16="http://schemas.microsoft.com/office/drawing/2014/main" id="{9ABBA0A1-83A0-2E87-3D4F-776A8D9AB0F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4697150" y="4730964"/>
                <a:ext cx="1932472" cy="1265810"/>
              </a:xfrm>
              <a:prstGeom prst="rect">
                <a:avLst/>
              </a:prstGeom>
            </xdr:spPr>
          </xdr:pic>
          <xdr:sp macro="" textlink="">
            <xdr:nvSpPr>
              <xdr:cNvPr id="108" name="Rectangle 107">
                <a:extLst>
                  <a:ext uri="{FF2B5EF4-FFF2-40B4-BE49-F238E27FC236}">
                    <a16:creationId xmlns:a16="http://schemas.microsoft.com/office/drawing/2014/main" id="{CE848580-6060-C3CD-CB0F-2626662C0A11}"/>
                  </a:ext>
                </a:extLst>
              </xdr:cNvPr>
              <xdr:cNvSpPr/>
            </xdr:nvSpPr>
            <xdr:spPr>
              <a:xfrm>
                <a:off x="4656034" y="4721593"/>
                <a:ext cx="1973588" cy="1275182"/>
              </a:xfrm>
              <a:prstGeom prst="rect">
                <a:avLst/>
              </a:prstGeom>
              <a:solidFill>
                <a:schemeClr val="accent3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06" name="Rectangle 105">
              <a:extLst>
                <a:ext uri="{FF2B5EF4-FFF2-40B4-BE49-F238E27FC236}">
                  <a16:creationId xmlns:a16="http://schemas.microsoft.com/office/drawing/2014/main" id="{7BF1A50C-B11E-B87E-A08E-FA770A2CE54C}"/>
                </a:ext>
              </a:extLst>
            </xdr:cNvPr>
            <xdr:cNvSpPr/>
          </xdr:nvSpPr>
          <xdr:spPr>
            <a:xfrm>
              <a:off x="9499599" y="14829825"/>
              <a:ext cx="487680" cy="72891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G</a:t>
              </a:r>
            </a:p>
          </xdr:txBody>
        </xdr:sp>
      </xdr:grpSp>
      <xdr:grpSp>
        <xdr:nvGrpSpPr>
          <xdr:cNvPr id="94" name="Group 93">
            <a:extLst>
              <a:ext uri="{FF2B5EF4-FFF2-40B4-BE49-F238E27FC236}">
                <a16:creationId xmlns:a16="http://schemas.microsoft.com/office/drawing/2014/main" id="{986198CB-B970-606C-A207-E0881891FB65}"/>
              </a:ext>
            </a:extLst>
          </xdr:cNvPr>
          <xdr:cNvGrpSpPr/>
        </xdr:nvGrpSpPr>
        <xdr:grpSpPr>
          <a:xfrm>
            <a:off x="9884303" y="8411300"/>
            <a:ext cx="1234598" cy="437511"/>
            <a:chOff x="1341121" y="18600490"/>
            <a:chExt cx="1087120" cy="1201349"/>
          </a:xfrm>
        </xdr:grpSpPr>
        <xdr:grpSp>
          <xdr:nvGrpSpPr>
            <xdr:cNvPr id="101" name="Group 100">
              <a:extLst>
                <a:ext uri="{FF2B5EF4-FFF2-40B4-BE49-F238E27FC236}">
                  <a16:creationId xmlns:a16="http://schemas.microsoft.com/office/drawing/2014/main" id="{DFA38499-2C00-07B7-45F5-2CD6259AEECC}"/>
                </a:ext>
              </a:extLst>
            </xdr:cNvPr>
            <xdr:cNvGrpSpPr/>
          </xdr:nvGrpSpPr>
          <xdr:grpSpPr>
            <a:xfrm>
              <a:off x="1341121" y="18600490"/>
              <a:ext cx="1087120" cy="1201349"/>
              <a:chOff x="288607" y="2746443"/>
              <a:chExt cx="1672192" cy="820118"/>
            </a:xfrm>
          </xdr:grpSpPr>
          <xdr:pic>
            <xdr:nvPicPr>
              <xdr:cNvPr id="103" name="Picture 102">
                <a:extLst>
                  <a:ext uri="{FF2B5EF4-FFF2-40B4-BE49-F238E27FC236}">
                    <a16:creationId xmlns:a16="http://schemas.microsoft.com/office/drawing/2014/main" id="{C147B21D-EEFE-5ADB-9DE9-80122FF3A7B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96630" y="27464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104" name="Rectangle 103">
                <a:extLst>
                  <a:ext uri="{FF2B5EF4-FFF2-40B4-BE49-F238E27FC236}">
                    <a16:creationId xmlns:a16="http://schemas.microsoft.com/office/drawing/2014/main" id="{2A3471F6-5193-70D0-6585-EB2CC824F8D2}"/>
                  </a:ext>
                </a:extLst>
              </xdr:cNvPr>
              <xdr:cNvSpPr/>
            </xdr:nvSpPr>
            <xdr:spPr>
              <a:xfrm>
                <a:off x="288607" y="2748129"/>
                <a:ext cx="1672192" cy="797625"/>
              </a:xfrm>
              <a:prstGeom prst="rect">
                <a:avLst/>
              </a:prstGeom>
              <a:solidFill>
                <a:schemeClr val="accent6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02" name="Rectangle 101">
              <a:extLst>
                <a:ext uri="{FF2B5EF4-FFF2-40B4-BE49-F238E27FC236}">
                  <a16:creationId xmlns:a16="http://schemas.microsoft.com/office/drawing/2014/main" id="{B8175282-4846-41C9-7215-0923A7B4077B}"/>
                </a:ext>
              </a:extLst>
            </xdr:cNvPr>
            <xdr:cNvSpPr/>
          </xdr:nvSpPr>
          <xdr:spPr>
            <a:xfrm>
              <a:off x="1686560" y="18915796"/>
              <a:ext cx="375920" cy="60369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K</a:t>
              </a:r>
            </a:p>
          </xdr:txBody>
        </xdr:sp>
      </xdr:grpSp>
      <xdr:grpSp>
        <xdr:nvGrpSpPr>
          <xdr:cNvPr id="95" name="Group 94">
            <a:extLst>
              <a:ext uri="{FF2B5EF4-FFF2-40B4-BE49-F238E27FC236}">
                <a16:creationId xmlns:a16="http://schemas.microsoft.com/office/drawing/2014/main" id="{DFD7E5EC-10FD-5F8F-7A2F-0B09EC00436E}"/>
              </a:ext>
            </a:extLst>
          </xdr:cNvPr>
          <xdr:cNvGrpSpPr/>
        </xdr:nvGrpSpPr>
        <xdr:grpSpPr>
          <a:xfrm>
            <a:off x="8594837" y="4357372"/>
            <a:ext cx="821598" cy="413067"/>
            <a:chOff x="3647441" y="19785639"/>
            <a:chExt cx="1168400" cy="1265881"/>
          </a:xfrm>
        </xdr:grpSpPr>
        <xdr:grpSp>
          <xdr:nvGrpSpPr>
            <xdr:cNvPr id="97" name="Group 96">
              <a:extLst>
                <a:ext uri="{FF2B5EF4-FFF2-40B4-BE49-F238E27FC236}">
                  <a16:creationId xmlns:a16="http://schemas.microsoft.com/office/drawing/2014/main" id="{7B324958-030E-F1C1-5B1A-F7738E896B3A}"/>
                </a:ext>
              </a:extLst>
            </xdr:cNvPr>
            <xdr:cNvGrpSpPr/>
          </xdr:nvGrpSpPr>
          <xdr:grpSpPr>
            <a:xfrm>
              <a:off x="3647441" y="19785639"/>
              <a:ext cx="1168400" cy="1265881"/>
              <a:chOff x="3262466" y="1921933"/>
              <a:chExt cx="1326467" cy="1303866"/>
            </a:xfrm>
          </xdr:grpSpPr>
          <xdr:pic>
            <xdr:nvPicPr>
              <xdr:cNvPr id="99" name="Picture 98">
                <a:extLst>
                  <a:ext uri="{FF2B5EF4-FFF2-40B4-BE49-F238E27FC236}">
                    <a16:creationId xmlns:a16="http://schemas.microsoft.com/office/drawing/2014/main" id="{CD8D5F28-3577-3127-D118-3712D4591A8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285067" y="1921933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100" name="Rectangle 99">
                <a:extLst>
                  <a:ext uri="{FF2B5EF4-FFF2-40B4-BE49-F238E27FC236}">
                    <a16:creationId xmlns:a16="http://schemas.microsoft.com/office/drawing/2014/main" id="{E1E816CA-7516-90A3-ACD1-E832FAEB5EC7}"/>
                  </a:ext>
                </a:extLst>
              </xdr:cNvPr>
              <xdr:cNvSpPr/>
            </xdr:nvSpPr>
            <xdr:spPr>
              <a:xfrm>
                <a:off x="3262466" y="1928155"/>
                <a:ext cx="1326465" cy="1297644"/>
              </a:xfrm>
              <a:prstGeom prst="rect">
                <a:avLst/>
              </a:prstGeom>
              <a:solidFill>
                <a:schemeClr val="bg1">
                  <a:lumMod val="6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98" name="Rectangle 97">
              <a:extLst>
                <a:ext uri="{FF2B5EF4-FFF2-40B4-BE49-F238E27FC236}">
                  <a16:creationId xmlns:a16="http://schemas.microsoft.com/office/drawing/2014/main" id="{48C26E98-C2DF-D8B4-DB8C-35EDE6807971}"/>
                </a:ext>
              </a:extLst>
            </xdr:cNvPr>
            <xdr:cNvSpPr/>
          </xdr:nvSpPr>
          <xdr:spPr>
            <a:xfrm>
              <a:off x="3921761" y="20041906"/>
              <a:ext cx="518160" cy="728916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A</a:t>
              </a:r>
            </a:p>
          </xdr:txBody>
        </xdr:sp>
      </xdr:grpSp>
    </xdr:grpSp>
    <xdr:clientData/>
  </xdr:twoCellAnchor>
  <xdr:twoCellAnchor>
    <xdr:from>
      <xdr:col>49</xdr:col>
      <xdr:colOff>45659</xdr:colOff>
      <xdr:row>10</xdr:row>
      <xdr:rowOff>38100</xdr:rowOff>
    </xdr:from>
    <xdr:to>
      <xdr:col>63</xdr:col>
      <xdr:colOff>207547</xdr:colOff>
      <xdr:row>24</xdr:row>
      <xdr:rowOff>29665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9E78E8A0-3801-4E4C-801A-72DA8BDC3D9C}"/>
            </a:ext>
          </a:extLst>
        </xdr:cNvPr>
        <xdr:cNvGrpSpPr/>
      </xdr:nvGrpSpPr>
      <xdr:grpSpPr>
        <a:xfrm rot="10800000">
          <a:off x="7534280" y="3979479"/>
          <a:ext cx="5679819" cy="5509496"/>
          <a:chOff x="7526753" y="3922351"/>
          <a:chExt cx="5673688" cy="5503365"/>
        </a:xfrm>
      </xdr:grpSpPr>
      <xdr:grpSp>
        <xdr:nvGrpSpPr>
          <xdr:cNvPr id="150" name="Group 149">
            <a:extLst>
              <a:ext uri="{FF2B5EF4-FFF2-40B4-BE49-F238E27FC236}">
                <a16:creationId xmlns:a16="http://schemas.microsoft.com/office/drawing/2014/main" id="{4C6C2170-9A9C-62B3-DA13-27F4C94085EC}"/>
              </a:ext>
            </a:extLst>
          </xdr:cNvPr>
          <xdr:cNvGrpSpPr/>
        </xdr:nvGrpSpPr>
        <xdr:grpSpPr>
          <a:xfrm>
            <a:off x="9483451" y="5178955"/>
            <a:ext cx="968779" cy="1331869"/>
            <a:chOff x="471714" y="5025569"/>
            <a:chExt cx="2313215" cy="2440216"/>
          </a:xfrm>
        </xdr:grpSpPr>
        <xdr:grpSp>
          <xdr:nvGrpSpPr>
            <xdr:cNvPr id="212" name="Group 211">
              <a:extLst>
                <a:ext uri="{FF2B5EF4-FFF2-40B4-BE49-F238E27FC236}">
                  <a16:creationId xmlns:a16="http://schemas.microsoft.com/office/drawing/2014/main" id="{F36C435C-6710-E706-6E0A-C1C04BA9A670}"/>
                </a:ext>
              </a:extLst>
            </xdr:cNvPr>
            <xdr:cNvGrpSpPr/>
          </xdr:nvGrpSpPr>
          <xdr:grpSpPr>
            <a:xfrm>
              <a:off x="471714" y="5025569"/>
              <a:ext cx="2313215" cy="2440216"/>
              <a:chOff x="1803360" y="3495864"/>
              <a:chExt cx="3091221" cy="954136"/>
            </a:xfrm>
          </xdr:grpSpPr>
          <xdr:pic>
            <xdr:nvPicPr>
              <xdr:cNvPr id="214" name="Picture 213">
                <a:extLst>
                  <a:ext uri="{FF2B5EF4-FFF2-40B4-BE49-F238E27FC236}">
                    <a16:creationId xmlns:a16="http://schemas.microsoft.com/office/drawing/2014/main" id="{CF17CBC2-CA7C-404F-E221-14F3D67DC5C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813870" y="3496103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215" name="Rectangle 214">
                <a:extLst>
                  <a:ext uri="{FF2B5EF4-FFF2-40B4-BE49-F238E27FC236}">
                    <a16:creationId xmlns:a16="http://schemas.microsoft.com/office/drawing/2014/main" id="{0A3BC396-0088-DFD0-A2D4-BD4702853903}"/>
                  </a:ext>
                </a:extLst>
              </xdr:cNvPr>
              <xdr:cNvSpPr/>
            </xdr:nvSpPr>
            <xdr:spPr>
              <a:xfrm>
                <a:off x="1803360" y="3495864"/>
                <a:ext cx="3091221" cy="932854"/>
              </a:xfrm>
              <a:prstGeom prst="rect">
                <a:avLst/>
              </a:prstGeom>
              <a:solidFill>
                <a:srgbClr val="000000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F8C877AB-9760-1305-C2E6-FF533BD94076}"/>
                </a:ext>
              </a:extLst>
            </xdr:cNvPr>
            <xdr:cNvSpPr txBox="1"/>
          </xdr:nvSpPr>
          <xdr:spPr>
            <a:xfrm rot="10800000">
              <a:off x="1097642" y="5669644"/>
              <a:ext cx="807358" cy="1112355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clip" horzOverflow="clip" vert="horz" wrap="square" lIns="50800" tIns="50800" rIns="50800" bIns="50800" numCol="1" spcCol="38100" rtlCol="0" anchor="t">
              <a:spAutoFit/>
            </a:bodyPr>
            <a:lstStyle/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I</a:t>
              </a:r>
            </a:p>
          </xdr:txBody>
        </xdr:sp>
      </xdr:grpSp>
      <xdr:grpSp>
        <xdr:nvGrpSpPr>
          <xdr:cNvPr id="151" name="Group 150">
            <a:extLst>
              <a:ext uri="{FF2B5EF4-FFF2-40B4-BE49-F238E27FC236}">
                <a16:creationId xmlns:a16="http://schemas.microsoft.com/office/drawing/2014/main" id="{A8DCF5F7-5905-ED3C-540E-9ABEA64E434E}"/>
              </a:ext>
            </a:extLst>
          </xdr:cNvPr>
          <xdr:cNvGrpSpPr/>
        </xdr:nvGrpSpPr>
        <xdr:grpSpPr>
          <a:xfrm>
            <a:off x="10419235" y="4495269"/>
            <a:ext cx="2047070" cy="1604019"/>
            <a:chOff x="7415704" y="5252355"/>
            <a:chExt cx="3184873" cy="3056534"/>
          </a:xfrm>
        </xdr:grpSpPr>
        <xdr:grpSp>
          <xdr:nvGrpSpPr>
            <xdr:cNvPr id="208" name="Group 207">
              <a:extLst>
                <a:ext uri="{FF2B5EF4-FFF2-40B4-BE49-F238E27FC236}">
                  <a16:creationId xmlns:a16="http://schemas.microsoft.com/office/drawing/2014/main" id="{5C460456-B61E-7D1D-9DA3-613780086FC4}"/>
                </a:ext>
              </a:extLst>
            </xdr:cNvPr>
            <xdr:cNvGrpSpPr/>
          </xdr:nvGrpSpPr>
          <xdr:grpSpPr>
            <a:xfrm>
              <a:off x="7415704" y="5252355"/>
              <a:ext cx="3184873" cy="3056534"/>
              <a:chOff x="5969000" y="3563312"/>
              <a:chExt cx="3056466" cy="955052"/>
            </a:xfrm>
          </xdr:grpSpPr>
          <xdr:pic>
            <xdr:nvPicPr>
              <xdr:cNvPr id="210" name="Picture 209">
                <a:extLst>
                  <a:ext uri="{FF2B5EF4-FFF2-40B4-BE49-F238E27FC236}">
                    <a16:creationId xmlns:a16="http://schemas.microsoft.com/office/drawing/2014/main" id="{53B52175-FF87-9981-14DD-FF1DDF0BF6D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5969000" y="3564467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211" name="Rectangle 210">
                <a:extLst>
                  <a:ext uri="{FF2B5EF4-FFF2-40B4-BE49-F238E27FC236}">
                    <a16:creationId xmlns:a16="http://schemas.microsoft.com/office/drawing/2014/main" id="{EF409522-A1EF-EE69-4A9C-02AEC257DA76}"/>
                  </a:ext>
                </a:extLst>
              </xdr:cNvPr>
              <xdr:cNvSpPr/>
            </xdr:nvSpPr>
            <xdr:spPr>
              <a:xfrm>
                <a:off x="5982239" y="3563312"/>
                <a:ext cx="3038286" cy="926876"/>
              </a:xfrm>
              <a:prstGeom prst="rect">
                <a:avLst/>
              </a:prstGeom>
              <a:solidFill>
                <a:schemeClr val="accent1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09" name="Rectangle 208">
              <a:extLst>
                <a:ext uri="{FF2B5EF4-FFF2-40B4-BE49-F238E27FC236}">
                  <a16:creationId xmlns:a16="http://schemas.microsoft.com/office/drawing/2014/main" id="{BC700606-7294-48B2-1982-1EA23733AB3F}"/>
                </a:ext>
              </a:extLst>
            </xdr:cNvPr>
            <xdr:cNvSpPr/>
          </xdr:nvSpPr>
          <xdr:spPr>
            <a:xfrm rot="10800000">
              <a:off x="8236858" y="5866530"/>
              <a:ext cx="1433285" cy="123001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7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J</a:t>
              </a:r>
            </a:p>
          </xdr:txBody>
        </xdr:sp>
      </xdr:grpSp>
      <xdr:grpSp>
        <xdr:nvGrpSpPr>
          <xdr:cNvPr id="152" name="Group 151">
            <a:extLst>
              <a:ext uri="{FF2B5EF4-FFF2-40B4-BE49-F238E27FC236}">
                <a16:creationId xmlns:a16="http://schemas.microsoft.com/office/drawing/2014/main" id="{D0FB0455-0126-B779-BA37-993FC7282C42}"/>
              </a:ext>
            </a:extLst>
          </xdr:cNvPr>
          <xdr:cNvGrpSpPr/>
        </xdr:nvGrpSpPr>
        <xdr:grpSpPr>
          <a:xfrm rot="5400000">
            <a:off x="9626308" y="6023055"/>
            <a:ext cx="1020663" cy="1963306"/>
            <a:chOff x="4236358" y="10468429"/>
            <a:chExt cx="2450052" cy="2540000"/>
          </a:xfrm>
        </xdr:grpSpPr>
        <xdr:grpSp>
          <xdr:nvGrpSpPr>
            <xdr:cNvPr id="204" name="Group 203">
              <a:extLst>
                <a:ext uri="{FF2B5EF4-FFF2-40B4-BE49-F238E27FC236}">
                  <a16:creationId xmlns:a16="http://schemas.microsoft.com/office/drawing/2014/main" id="{7990EB12-9031-AC90-ABDE-A135D812BFAB}"/>
                </a:ext>
              </a:extLst>
            </xdr:cNvPr>
            <xdr:cNvGrpSpPr/>
          </xdr:nvGrpSpPr>
          <xdr:grpSpPr>
            <a:xfrm>
              <a:off x="4236358" y="10468429"/>
              <a:ext cx="2450052" cy="2540000"/>
              <a:chOff x="5969000" y="3564467"/>
              <a:chExt cx="3056466" cy="953897"/>
            </a:xfrm>
          </xdr:grpSpPr>
          <xdr:pic>
            <xdr:nvPicPr>
              <xdr:cNvPr id="206" name="Picture 205">
                <a:extLst>
                  <a:ext uri="{FF2B5EF4-FFF2-40B4-BE49-F238E27FC236}">
                    <a16:creationId xmlns:a16="http://schemas.microsoft.com/office/drawing/2014/main" id="{EB7FBF9B-5D95-A11D-A889-0F256354254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5969000" y="3564467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207" name="Rectangle 206">
                <a:extLst>
                  <a:ext uri="{FF2B5EF4-FFF2-40B4-BE49-F238E27FC236}">
                    <a16:creationId xmlns:a16="http://schemas.microsoft.com/office/drawing/2014/main" id="{7D94BB7A-B9C2-4AB5-7BDF-2907CE67B463}"/>
                  </a:ext>
                </a:extLst>
              </xdr:cNvPr>
              <xdr:cNvSpPr/>
            </xdr:nvSpPr>
            <xdr:spPr>
              <a:xfrm>
                <a:off x="5980316" y="3564467"/>
                <a:ext cx="3044193" cy="926643"/>
              </a:xfrm>
              <a:prstGeom prst="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05" name="Rectangle 204">
              <a:extLst>
                <a:ext uri="{FF2B5EF4-FFF2-40B4-BE49-F238E27FC236}">
                  <a16:creationId xmlns:a16="http://schemas.microsoft.com/office/drawing/2014/main" id="{E2FF88F6-AAB7-D137-E4F6-82CE13B6D30C}"/>
                </a:ext>
              </a:extLst>
            </xdr:cNvPr>
            <xdr:cNvSpPr/>
          </xdr:nvSpPr>
          <xdr:spPr>
            <a:xfrm rot="5400000">
              <a:off x="5172572" y="10740887"/>
              <a:ext cx="513355" cy="1759228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5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H</a:t>
              </a:r>
            </a:p>
          </xdr:txBody>
        </xdr:sp>
      </xdr:grpSp>
      <xdr:grpSp>
        <xdr:nvGrpSpPr>
          <xdr:cNvPr id="153" name="Group 152">
            <a:extLst>
              <a:ext uri="{FF2B5EF4-FFF2-40B4-BE49-F238E27FC236}">
                <a16:creationId xmlns:a16="http://schemas.microsoft.com/office/drawing/2014/main" id="{5CF05C73-4266-6FE4-E53D-E836926297AE}"/>
              </a:ext>
            </a:extLst>
          </xdr:cNvPr>
          <xdr:cNvGrpSpPr/>
        </xdr:nvGrpSpPr>
        <xdr:grpSpPr>
          <a:xfrm>
            <a:off x="9488713" y="7523614"/>
            <a:ext cx="1628861" cy="900057"/>
            <a:chOff x="414384" y="10664222"/>
            <a:chExt cx="2616365" cy="2538697"/>
          </a:xfrm>
        </xdr:grpSpPr>
        <xdr:grpSp>
          <xdr:nvGrpSpPr>
            <xdr:cNvPr id="200" name="Group 199">
              <a:extLst>
                <a:ext uri="{FF2B5EF4-FFF2-40B4-BE49-F238E27FC236}">
                  <a16:creationId xmlns:a16="http://schemas.microsoft.com/office/drawing/2014/main" id="{27A44CC9-A58C-4492-3CE0-A59E21587A76}"/>
                </a:ext>
              </a:extLst>
            </xdr:cNvPr>
            <xdr:cNvGrpSpPr/>
          </xdr:nvGrpSpPr>
          <xdr:grpSpPr>
            <a:xfrm>
              <a:off x="414384" y="10664222"/>
              <a:ext cx="2616365" cy="2538697"/>
              <a:chOff x="279697" y="1629743"/>
              <a:chExt cx="1648539" cy="820118"/>
            </a:xfrm>
          </xdr:grpSpPr>
          <xdr:pic>
            <xdr:nvPicPr>
              <xdr:cNvPr id="202" name="Picture 201">
                <a:extLst>
                  <a:ext uri="{FF2B5EF4-FFF2-40B4-BE49-F238E27FC236}">
                    <a16:creationId xmlns:a16="http://schemas.microsoft.com/office/drawing/2014/main" id="{CFCDD135-9BD7-A3AD-51D0-EFFFF51A9D1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79697" y="16297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203" name="Rectangle 202">
                <a:extLst>
                  <a:ext uri="{FF2B5EF4-FFF2-40B4-BE49-F238E27FC236}">
                    <a16:creationId xmlns:a16="http://schemas.microsoft.com/office/drawing/2014/main" id="{E2971CCA-6AE8-4123-5904-8F0C3353E04A}"/>
                  </a:ext>
                </a:extLst>
              </xdr:cNvPr>
              <xdr:cNvSpPr/>
            </xdr:nvSpPr>
            <xdr:spPr>
              <a:xfrm>
                <a:off x="291292" y="1633012"/>
                <a:ext cx="1623386" cy="790019"/>
              </a:xfrm>
              <a:prstGeom prst="rect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01" name="Rectangle 200">
              <a:extLst>
                <a:ext uri="{FF2B5EF4-FFF2-40B4-BE49-F238E27FC236}">
                  <a16:creationId xmlns:a16="http://schemas.microsoft.com/office/drawing/2014/main" id="{6DF56FE7-BEAC-D65D-DA41-A730FFC7A978}"/>
                </a:ext>
              </a:extLst>
            </xdr:cNvPr>
            <xdr:cNvSpPr/>
          </xdr:nvSpPr>
          <xdr:spPr>
            <a:xfrm rot="10800000">
              <a:off x="1215935" y="11139035"/>
              <a:ext cx="1019265" cy="1154523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L</a:t>
              </a:r>
            </a:p>
          </xdr:txBody>
        </xdr:sp>
      </xdr:grpSp>
      <xdr:grpSp>
        <xdr:nvGrpSpPr>
          <xdr:cNvPr id="154" name="Group 153">
            <a:extLst>
              <a:ext uri="{FF2B5EF4-FFF2-40B4-BE49-F238E27FC236}">
                <a16:creationId xmlns:a16="http://schemas.microsoft.com/office/drawing/2014/main" id="{63332ADC-AACA-8B28-5FB9-FFD5FBA19002}"/>
              </a:ext>
            </a:extLst>
          </xdr:cNvPr>
          <xdr:cNvGrpSpPr/>
        </xdr:nvGrpSpPr>
        <xdr:grpSpPr>
          <a:xfrm>
            <a:off x="11135984" y="8122644"/>
            <a:ext cx="2064457" cy="1303072"/>
            <a:chOff x="2558143" y="14769568"/>
            <a:chExt cx="2603500" cy="3264432"/>
          </a:xfrm>
        </xdr:grpSpPr>
        <xdr:grpSp>
          <xdr:nvGrpSpPr>
            <xdr:cNvPr id="196" name="Group 195">
              <a:extLst>
                <a:ext uri="{FF2B5EF4-FFF2-40B4-BE49-F238E27FC236}">
                  <a16:creationId xmlns:a16="http://schemas.microsoft.com/office/drawing/2014/main" id="{7C2CE037-7B74-87BD-A284-8A4C3A8E0DB3}"/>
                </a:ext>
              </a:extLst>
            </xdr:cNvPr>
            <xdr:cNvGrpSpPr/>
          </xdr:nvGrpSpPr>
          <xdr:grpSpPr>
            <a:xfrm>
              <a:off x="2558143" y="14769568"/>
              <a:ext cx="2603500" cy="3264432"/>
              <a:chOff x="278210" y="2746443"/>
              <a:chExt cx="1666959" cy="820118"/>
            </a:xfrm>
          </xdr:grpSpPr>
          <xdr:pic>
            <xdr:nvPicPr>
              <xdr:cNvPr id="198" name="Picture 197">
                <a:extLst>
                  <a:ext uri="{FF2B5EF4-FFF2-40B4-BE49-F238E27FC236}">
                    <a16:creationId xmlns:a16="http://schemas.microsoft.com/office/drawing/2014/main" id="{C7C0D9D4-EBDA-DF61-FDD0-CD5DCE8C7C0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96630" y="27464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199" name="Rectangle 198">
                <a:extLst>
                  <a:ext uri="{FF2B5EF4-FFF2-40B4-BE49-F238E27FC236}">
                    <a16:creationId xmlns:a16="http://schemas.microsoft.com/office/drawing/2014/main" id="{56730652-A26F-F044-CED7-892D1711770B}"/>
                  </a:ext>
                </a:extLst>
              </xdr:cNvPr>
              <xdr:cNvSpPr/>
            </xdr:nvSpPr>
            <xdr:spPr>
              <a:xfrm>
                <a:off x="278210" y="2748400"/>
                <a:ext cx="1661150" cy="804487"/>
              </a:xfrm>
              <a:prstGeom prst="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97" name="Rectangle 196">
              <a:extLst>
                <a:ext uri="{FF2B5EF4-FFF2-40B4-BE49-F238E27FC236}">
                  <a16:creationId xmlns:a16="http://schemas.microsoft.com/office/drawing/2014/main" id="{85A3D497-2081-2F7F-8688-A572143AD467}"/>
                </a:ext>
              </a:extLst>
            </xdr:cNvPr>
            <xdr:cNvSpPr/>
          </xdr:nvSpPr>
          <xdr:spPr>
            <a:xfrm rot="10800000">
              <a:off x="3356430" y="15760893"/>
              <a:ext cx="771071" cy="85414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M</a:t>
              </a:r>
            </a:p>
          </xdr:txBody>
        </xdr:sp>
      </xdr:grpSp>
      <xdr:grpSp>
        <xdr:nvGrpSpPr>
          <xdr:cNvPr id="155" name="Group 154">
            <a:extLst>
              <a:ext uri="{FF2B5EF4-FFF2-40B4-BE49-F238E27FC236}">
                <a16:creationId xmlns:a16="http://schemas.microsoft.com/office/drawing/2014/main" id="{F0686A93-9C5C-E804-899C-32822D4E34E4}"/>
              </a:ext>
            </a:extLst>
          </xdr:cNvPr>
          <xdr:cNvGrpSpPr/>
        </xdr:nvGrpSpPr>
        <xdr:grpSpPr>
          <a:xfrm>
            <a:off x="9401935" y="3928477"/>
            <a:ext cx="1068405" cy="1250186"/>
            <a:chOff x="3613420" y="1115787"/>
            <a:chExt cx="1956428" cy="2485569"/>
          </a:xfrm>
        </xdr:grpSpPr>
        <xdr:grpSp>
          <xdr:nvGrpSpPr>
            <xdr:cNvPr id="192" name="Group 191">
              <a:extLst>
                <a:ext uri="{FF2B5EF4-FFF2-40B4-BE49-F238E27FC236}">
                  <a16:creationId xmlns:a16="http://schemas.microsoft.com/office/drawing/2014/main" id="{A132AFBF-8270-6CEB-233D-97A827351F53}"/>
                </a:ext>
              </a:extLst>
            </xdr:cNvPr>
            <xdr:cNvGrpSpPr/>
          </xdr:nvGrpSpPr>
          <xdr:grpSpPr>
            <a:xfrm>
              <a:off x="3613420" y="1115787"/>
              <a:ext cx="1956428" cy="2485569"/>
              <a:chOff x="6169895" y="1900224"/>
              <a:chExt cx="1340038" cy="1308641"/>
            </a:xfrm>
          </xdr:grpSpPr>
          <xdr:pic>
            <xdr:nvPicPr>
              <xdr:cNvPr id="194" name="Picture 193">
                <a:extLst>
                  <a:ext uri="{FF2B5EF4-FFF2-40B4-BE49-F238E27FC236}">
                    <a16:creationId xmlns:a16="http://schemas.microsoft.com/office/drawing/2014/main" id="{13CEEB95-5080-7B4A-9F35-3FBB8A7B52F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06067" y="1904999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195" name="Rectangle 194">
                <a:extLst>
                  <a:ext uri="{FF2B5EF4-FFF2-40B4-BE49-F238E27FC236}">
                    <a16:creationId xmlns:a16="http://schemas.microsoft.com/office/drawing/2014/main" id="{913AFF90-40A5-FCEF-2081-F35392DFD7CE}"/>
                  </a:ext>
                </a:extLst>
              </xdr:cNvPr>
              <xdr:cNvSpPr/>
            </xdr:nvSpPr>
            <xdr:spPr>
              <a:xfrm>
                <a:off x="6169895" y="1900224"/>
                <a:ext cx="1304812" cy="1294313"/>
              </a:xfrm>
              <a:prstGeom prst="rect">
                <a:avLst/>
              </a:prstGeom>
              <a:solidFill>
                <a:schemeClr val="bg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93" name="Rectangle 192">
              <a:extLst>
                <a:ext uri="{FF2B5EF4-FFF2-40B4-BE49-F238E27FC236}">
                  <a16:creationId xmlns:a16="http://schemas.microsoft.com/office/drawing/2014/main" id="{DEFAEF19-5A5D-BC73-516F-40BAA70FF0DC}"/>
                </a:ext>
              </a:extLst>
            </xdr:cNvPr>
            <xdr:cNvSpPr/>
          </xdr:nvSpPr>
          <xdr:spPr>
            <a:xfrm rot="10800000">
              <a:off x="4172856" y="1940114"/>
              <a:ext cx="889000" cy="79156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D</a:t>
              </a:r>
            </a:p>
          </xdr:txBody>
        </xdr:sp>
      </xdr:grpSp>
      <xdr:grpSp>
        <xdr:nvGrpSpPr>
          <xdr:cNvPr id="156" name="Group 155">
            <a:extLst>
              <a:ext uri="{FF2B5EF4-FFF2-40B4-BE49-F238E27FC236}">
                <a16:creationId xmlns:a16="http://schemas.microsoft.com/office/drawing/2014/main" id="{D810B061-57C8-3261-C677-D845DBA3D12B}"/>
              </a:ext>
            </a:extLst>
          </xdr:cNvPr>
          <xdr:cNvGrpSpPr/>
        </xdr:nvGrpSpPr>
        <xdr:grpSpPr>
          <a:xfrm rot="16200000">
            <a:off x="10630910" y="6985708"/>
            <a:ext cx="1645710" cy="648274"/>
            <a:chOff x="12690315" y="11131003"/>
            <a:chExt cx="2052208" cy="2359298"/>
          </a:xfrm>
        </xdr:grpSpPr>
        <xdr:grpSp>
          <xdr:nvGrpSpPr>
            <xdr:cNvPr id="188" name="Group 187">
              <a:extLst>
                <a:ext uri="{FF2B5EF4-FFF2-40B4-BE49-F238E27FC236}">
                  <a16:creationId xmlns:a16="http://schemas.microsoft.com/office/drawing/2014/main" id="{132CCCAC-5816-E66F-4F67-DCE4523B26F2}"/>
                </a:ext>
              </a:extLst>
            </xdr:cNvPr>
            <xdr:cNvGrpSpPr/>
          </xdr:nvGrpSpPr>
          <xdr:grpSpPr>
            <a:xfrm>
              <a:off x="12690315" y="11131003"/>
              <a:ext cx="2052208" cy="2359298"/>
              <a:chOff x="4697150" y="4663166"/>
              <a:chExt cx="1949975" cy="1266768"/>
            </a:xfrm>
          </xdr:grpSpPr>
          <xdr:pic>
            <xdr:nvPicPr>
              <xdr:cNvPr id="190" name="Picture 189">
                <a:extLst>
                  <a:ext uri="{FF2B5EF4-FFF2-40B4-BE49-F238E27FC236}">
                    <a16:creationId xmlns:a16="http://schemas.microsoft.com/office/drawing/2014/main" id="{63E3338D-5A18-F215-7CFA-9222CBA8942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4697150" y="4664124"/>
                <a:ext cx="1932472" cy="1265810"/>
              </a:xfrm>
              <a:prstGeom prst="rect">
                <a:avLst/>
              </a:prstGeom>
            </xdr:spPr>
          </xdr:pic>
          <xdr:sp macro="" textlink="">
            <xdr:nvSpPr>
              <xdr:cNvPr id="191" name="Rectangle 190">
                <a:extLst>
                  <a:ext uri="{FF2B5EF4-FFF2-40B4-BE49-F238E27FC236}">
                    <a16:creationId xmlns:a16="http://schemas.microsoft.com/office/drawing/2014/main" id="{346E5B10-9D3C-22C4-ADCB-A1A1BEE3070C}"/>
                  </a:ext>
                </a:extLst>
              </xdr:cNvPr>
              <xdr:cNvSpPr/>
            </xdr:nvSpPr>
            <xdr:spPr>
              <a:xfrm>
                <a:off x="4704394" y="4663166"/>
                <a:ext cx="1942731" cy="1256872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89" name="Rectangle 188">
              <a:extLst>
                <a:ext uri="{FF2B5EF4-FFF2-40B4-BE49-F238E27FC236}">
                  <a16:creationId xmlns:a16="http://schemas.microsoft.com/office/drawing/2014/main" id="{87871781-4DFC-BD44-C789-4D9B15E65665}"/>
                </a:ext>
              </a:extLst>
            </xdr:cNvPr>
            <xdr:cNvSpPr/>
          </xdr:nvSpPr>
          <xdr:spPr>
            <a:xfrm rot="10800000">
              <a:off x="13302707" y="11895558"/>
              <a:ext cx="980077" cy="866483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F</a:t>
              </a:r>
            </a:p>
          </xdr:txBody>
        </xdr:sp>
      </xdr:grpSp>
      <xdr:grpSp>
        <xdr:nvGrpSpPr>
          <xdr:cNvPr id="157" name="Group 156">
            <a:extLst>
              <a:ext uri="{FF2B5EF4-FFF2-40B4-BE49-F238E27FC236}">
                <a16:creationId xmlns:a16="http://schemas.microsoft.com/office/drawing/2014/main" id="{5E8A1D1B-6A21-3DCC-CA38-F0F36C852286}"/>
              </a:ext>
            </a:extLst>
          </xdr:cNvPr>
          <xdr:cNvGrpSpPr/>
        </xdr:nvGrpSpPr>
        <xdr:grpSpPr>
          <a:xfrm>
            <a:off x="7526753" y="3922986"/>
            <a:ext cx="1067835" cy="840489"/>
            <a:chOff x="7403600" y="19633475"/>
            <a:chExt cx="1431609" cy="2135415"/>
          </a:xfrm>
        </xdr:grpSpPr>
        <xdr:grpSp>
          <xdr:nvGrpSpPr>
            <xdr:cNvPr id="184" name="Group 183">
              <a:extLst>
                <a:ext uri="{FF2B5EF4-FFF2-40B4-BE49-F238E27FC236}">
                  <a16:creationId xmlns:a16="http://schemas.microsoft.com/office/drawing/2014/main" id="{B8B5848E-A04B-FAD3-2D5C-373337A109C9}"/>
                </a:ext>
              </a:extLst>
            </xdr:cNvPr>
            <xdr:cNvGrpSpPr/>
          </xdr:nvGrpSpPr>
          <xdr:grpSpPr>
            <a:xfrm>
              <a:off x="7403600" y="19633475"/>
              <a:ext cx="1431609" cy="2135415"/>
              <a:chOff x="6206067" y="1900075"/>
              <a:chExt cx="1303867" cy="1308790"/>
            </a:xfrm>
          </xdr:grpSpPr>
          <xdr:pic>
            <xdr:nvPicPr>
              <xdr:cNvPr id="186" name="Picture 185">
                <a:extLst>
                  <a:ext uri="{FF2B5EF4-FFF2-40B4-BE49-F238E27FC236}">
                    <a16:creationId xmlns:a16="http://schemas.microsoft.com/office/drawing/2014/main" id="{3207F996-4360-FDBB-F45E-4385D950067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06067" y="1904999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187" name="Rectangle 186">
                <a:extLst>
                  <a:ext uri="{FF2B5EF4-FFF2-40B4-BE49-F238E27FC236}">
                    <a16:creationId xmlns:a16="http://schemas.microsoft.com/office/drawing/2014/main" id="{DFF9B9AB-D195-4911-413B-8734E071D497}"/>
                  </a:ext>
                </a:extLst>
              </xdr:cNvPr>
              <xdr:cNvSpPr/>
            </xdr:nvSpPr>
            <xdr:spPr>
              <a:xfrm>
                <a:off x="6206868" y="1900075"/>
                <a:ext cx="1303066" cy="1291865"/>
              </a:xfrm>
              <a:prstGeom prst="rect">
                <a:avLst/>
              </a:prstGeom>
              <a:solidFill>
                <a:schemeClr val="accent4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85" name="Rectangle 184">
              <a:extLst>
                <a:ext uri="{FF2B5EF4-FFF2-40B4-BE49-F238E27FC236}">
                  <a16:creationId xmlns:a16="http://schemas.microsoft.com/office/drawing/2014/main" id="{7FB6B110-469D-AAB9-B20E-C28FEF5F3F19}"/>
                </a:ext>
              </a:extLst>
            </xdr:cNvPr>
            <xdr:cNvSpPr/>
          </xdr:nvSpPr>
          <xdr:spPr>
            <a:xfrm rot="10800000">
              <a:off x="7800704" y="20388497"/>
              <a:ext cx="710837" cy="803900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B</a:t>
              </a:r>
            </a:p>
          </xdr:txBody>
        </xdr:sp>
      </xdr:grpSp>
      <xdr:grpSp>
        <xdr:nvGrpSpPr>
          <xdr:cNvPr id="158" name="Group 157">
            <a:extLst>
              <a:ext uri="{FF2B5EF4-FFF2-40B4-BE49-F238E27FC236}">
                <a16:creationId xmlns:a16="http://schemas.microsoft.com/office/drawing/2014/main" id="{685849F4-CEE2-2603-3EA1-DFAAD82FE5E1}"/>
              </a:ext>
            </a:extLst>
          </xdr:cNvPr>
          <xdr:cNvGrpSpPr/>
        </xdr:nvGrpSpPr>
        <xdr:grpSpPr>
          <a:xfrm>
            <a:off x="8596149" y="3922351"/>
            <a:ext cx="810298" cy="437991"/>
            <a:chOff x="486956" y="1091837"/>
            <a:chExt cx="1152433" cy="1261292"/>
          </a:xfrm>
        </xdr:grpSpPr>
        <xdr:grpSp>
          <xdr:nvGrpSpPr>
            <xdr:cNvPr id="180" name="Group 179">
              <a:extLst>
                <a:ext uri="{FF2B5EF4-FFF2-40B4-BE49-F238E27FC236}">
                  <a16:creationId xmlns:a16="http://schemas.microsoft.com/office/drawing/2014/main" id="{68FB31C7-0D9D-542C-C5C7-928722AC113F}"/>
                </a:ext>
              </a:extLst>
            </xdr:cNvPr>
            <xdr:cNvGrpSpPr/>
          </xdr:nvGrpSpPr>
          <xdr:grpSpPr>
            <a:xfrm>
              <a:off x="486956" y="1091837"/>
              <a:ext cx="1152433" cy="1261292"/>
              <a:chOff x="3253006" y="1912346"/>
              <a:chExt cx="1335928" cy="1313453"/>
            </a:xfrm>
            <a:solidFill>
              <a:schemeClr val="accent2">
                <a:lumMod val="75000"/>
              </a:schemeClr>
            </a:solidFill>
          </xdr:grpSpPr>
          <xdr:pic>
            <xdr:nvPicPr>
              <xdr:cNvPr id="182" name="Picture 181">
                <a:extLst>
                  <a:ext uri="{FF2B5EF4-FFF2-40B4-BE49-F238E27FC236}">
                    <a16:creationId xmlns:a16="http://schemas.microsoft.com/office/drawing/2014/main" id="{50F10B88-0AD9-ECB2-E98E-DCA0EBD7310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285067" y="1921933"/>
                <a:ext cx="1303866" cy="1303866"/>
              </a:xfrm>
              <a:prstGeom prst="rect">
                <a:avLst/>
              </a:prstGeom>
              <a:grpFill/>
            </xdr:spPr>
          </xdr:pic>
          <xdr:sp macro="" textlink="">
            <xdr:nvSpPr>
              <xdr:cNvPr id="183" name="Rectangle 182">
                <a:extLst>
                  <a:ext uri="{FF2B5EF4-FFF2-40B4-BE49-F238E27FC236}">
                    <a16:creationId xmlns:a16="http://schemas.microsoft.com/office/drawing/2014/main" id="{5251F452-E44F-1822-49E7-5148751F2066}"/>
                  </a:ext>
                </a:extLst>
              </xdr:cNvPr>
              <xdr:cNvSpPr/>
            </xdr:nvSpPr>
            <xdr:spPr>
              <a:xfrm>
                <a:off x="3253006" y="1912346"/>
                <a:ext cx="1335928" cy="1284690"/>
              </a:xfrm>
              <a:prstGeom prst="rect">
                <a:avLst/>
              </a:prstGeom>
              <a:grpFill/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81" name="Rectangle 180">
              <a:extLst>
                <a:ext uri="{FF2B5EF4-FFF2-40B4-BE49-F238E27FC236}">
                  <a16:creationId xmlns:a16="http://schemas.microsoft.com/office/drawing/2014/main" id="{C6750154-D8DA-B8F6-50F4-572E32EFA1B6}"/>
                </a:ext>
              </a:extLst>
            </xdr:cNvPr>
            <xdr:cNvSpPr/>
          </xdr:nvSpPr>
          <xdr:spPr>
            <a:xfrm rot="10800000">
              <a:off x="759099" y="1331836"/>
              <a:ext cx="574764" cy="678609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C</a:t>
              </a:r>
            </a:p>
          </xdr:txBody>
        </xdr:sp>
      </xdr:grpSp>
      <xdr:grpSp>
        <xdr:nvGrpSpPr>
          <xdr:cNvPr id="159" name="Group 158">
            <a:extLst>
              <a:ext uri="{FF2B5EF4-FFF2-40B4-BE49-F238E27FC236}">
                <a16:creationId xmlns:a16="http://schemas.microsoft.com/office/drawing/2014/main" id="{4215222A-62C3-4818-47FF-C11EC5009C8F}"/>
              </a:ext>
            </a:extLst>
          </xdr:cNvPr>
          <xdr:cNvGrpSpPr/>
        </xdr:nvGrpSpPr>
        <xdr:grpSpPr>
          <a:xfrm>
            <a:off x="11771266" y="6084378"/>
            <a:ext cx="1279017" cy="846269"/>
            <a:chOff x="9052922" y="10123712"/>
            <a:chExt cx="2123440" cy="2153557"/>
          </a:xfrm>
        </xdr:grpSpPr>
        <xdr:grpSp>
          <xdr:nvGrpSpPr>
            <xdr:cNvPr id="176" name="Group 175">
              <a:extLst>
                <a:ext uri="{FF2B5EF4-FFF2-40B4-BE49-F238E27FC236}">
                  <a16:creationId xmlns:a16="http://schemas.microsoft.com/office/drawing/2014/main" id="{6E047A3B-8661-B5B7-4384-F659CCD77060}"/>
                </a:ext>
              </a:extLst>
            </xdr:cNvPr>
            <xdr:cNvGrpSpPr/>
          </xdr:nvGrpSpPr>
          <xdr:grpSpPr>
            <a:xfrm>
              <a:off x="9052922" y="10123712"/>
              <a:ext cx="2123440" cy="2153557"/>
              <a:chOff x="2166446" y="4637853"/>
              <a:chExt cx="1951819" cy="1297469"/>
            </a:xfrm>
          </xdr:grpSpPr>
          <xdr:pic>
            <xdr:nvPicPr>
              <xdr:cNvPr id="178" name="Picture 177">
                <a:extLst>
                  <a:ext uri="{FF2B5EF4-FFF2-40B4-BE49-F238E27FC236}">
                    <a16:creationId xmlns:a16="http://schemas.microsoft.com/office/drawing/2014/main" id="{000A3103-03BB-8CA5-C50C-D5D87B06A6B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2183009" y="4669512"/>
                <a:ext cx="1935256" cy="1265810"/>
              </a:xfrm>
              <a:prstGeom prst="rect">
                <a:avLst/>
              </a:prstGeom>
            </xdr:spPr>
          </xdr:pic>
          <xdr:sp macro="" textlink="">
            <xdr:nvSpPr>
              <xdr:cNvPr id="179" name="Rectangle 178">
                <a:extLst>
                  <a:ext uri="{FF2B5EF4-FFF2-40B4-BE49-F238E27FC236}">
                    <a16:creationId xmlns:a16="http://schemas.microsoft.com/office/drawing/2014/main" id="{936B0D3E-23DE-B0EA-3913-8CCCB3EA265E}"/>
                  </a:ext>
                </a:extLst>
              </xdr:cNvPr>
              <xdr:cNvSpPr/>
            </xdr:nvSpPr>
            <xdr:spPr>
              <a:xfrm>
                <a:off x="2166446" y="4637853"/>
                <a:ext cx="1943332" cy="1291924"/>
              </a:xfrm>
              <a:prstGeom prst="rect">
                <a:avLst/>
              </a:prstGeom>
              <a:solidFill>
                <a:schemeClr val="accent6">
                  <a:lumMod val="20000"/>
                  <a:lumOff val="8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77" name="Rectangle 176">
              <a:extLst>
                <a:ext uri="{FF2B5EF4-FFF2-40B4-BE49-F238E27FC236}">
                  <a16:creationId xmlns:a16="http://schemas.microsoft.com/office/drawing/2014/main" id="{C39E6EE7-5ED2-874F-C6E9-B70ED6D7366A}"/>
                </a:ext>
              </a:extLst>
            </xdr:cNvPr>
            <xdr:cNvSpPr/>
          </xdr:nvSpPr>
          <xdr:spPr>
            <a:xfrm rot="10800000">
              <a:off x="9555115" y="10361185"/>
              <a:ext cx="1144096" cy="162477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E</a:t>
              </a:r>
            </a:p>
          </xdr:txBody>
        </xdr:sp>
      </xdr:grpSp>
      <xdr:grpSp>
        <xdr:nvGrpSpPr>
          <xdr:cNvPr id="160" name="Group 159">
            <a:extLst>
              <a:ext uri="{FF2B5EF4-FFF2-40B4-BE49-F238E27FC236}">
                <a16:creationId xmlns:a16="http://schemas.microsoft.com/office/drawing/2014/main" id="{37ACA98E-5646-7FC2-17EC-C7CB6B9064F2}"/>
              </a:ext>
            </a:extLst>
          </xdr:cNvPr>
          <xdr:cNvGrpSpPr/>
        </xdr:nvGrpSpPr>
        <xdr:grpSpPr>
          <a:xfrm>
            <a:off x="10459647" y="6055977"/>
            <a:ext cx="1308001" cy="430525"/>
            <a:chOff x="9071066" y="14609355"/>
            <a:chExt cx="1330960" cy="1258388"/>
          </a:xfrm>
        </xdr:grpSpPr>
        <xdr:grpSp>
          <xdr:nvGrpSpPr>
            <xdr:cNvPr id="172" name="Group 171">
              <a:extLst>
                <a:ext uri="{FF2B5EF4-FFF2-40B4-BE49-F238E27FC236}">
                  <a16:creationId xmlns:a16="http://schemas.microsoft.com/office/drawing/2014/main" id="{BBAB6DFC-F0DC-D41F-649D-74B96B026BDB}"/>
                </a:ext>
              </a:extLst>
            </xdr:cNvPr>
            <xdr:cNvGrpSpPr/>
          </xdr:nvGrpSpPr>
          <xdr:grpSpPr>
            <a:xfrm>
              <a:off x="9071066" y="14609355"/>
              <a:ext cx="1330960" cy="1258388"/>
              <a:chOff x="4656034" y="4721593"/>
              <a:chExt cx="1973588" cy="1275182"/>
            </a:xfrm>
          </xdr:grpSpPr>
          <xdr:pic>
            <xdr:nvPicPr>
              <xdr:cNvPr id="174" name="Picture 173">
                <a:extLst>
                  <a:ext uri="{FF2B5EF4-FFF2-40B4-BE49-F238E27FC236}">
                    <a16:creationId xmlns:a16="http://schemas.microsoft.com/office/drawing/2014/main" id="{EE08A755-8AED-D2B8-80F2-F11117A001D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4697150" y="4730964"/>
                <a:ext cx="1932472" cy="1265810"/>
              </a:xfrm>
              <a:prstGeom prst="rect">
                <a:avLst/>
              </a:prstGeom>
            </xdr:spPr>
          </xdr:pic>
          <xdr:sp macro="" textlink="">
            <xdr:nvSpPr>
              <xdr:cNvPr id="175" name="Rectangle 174">
                <a:extLst>
                  <a:ext uri="{FF2B5EF4-FFF2-40B4-BE49-F238E27FC236}">
                    <a16:creationId xmlns:a16="http://schemas.microsoft.com/office/drawing/2014/main" id="{3EC72044-4477-13F1-CE38-D2FF5DC1182A}"/>
                  </a:ext>
                </a:extLst>
              </xdr:cNvPr>
              <xdr:cNvSpPr/>
            </xdr:nvSpPr>
            <xdr:spPr>
              <a:xfrm>
                <a:off x="4656034" y="4721593"/>
                <a:ext cx="1973588" cy="1275182"/>
              </a:xfrm>
              <a:prstGeom prst="rect">
                <a:avLst/>
              </a:prstGeom>
              <a:solidFill>
                <a:schemeClr val="accent3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73" name="Rectangle 172">
              <a:extLst>
                <a:ext uri="{FF2B5EF4-FFF2-40B4-BE49-F238E27FC236}">
                  <a16:creationId xmlns:a16="http://schemas.microsoft.com/office/drawing/2014/main" id="{A83A838B-E117-BD39-6760-4F34AB6457BB}"/>
                </a:ext>
              </a:extLst>
            </xdr:cNvPr>
            <xdr:cNvSpPr/>
          </xdr:nvSpPr>
          <xdr:spPr>
            <a:xfrm rot="10800000">
              <a:off x="9499598" y="14829825"/>
              <a:ext cx="487680" cy="72891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G</a:t>
              </a:r>
            </a:p>
          </xdr:txBody>
        </xdr:sp>
      </xdr:grpSp>
      <xdr:grpSp>
        <xdr:nvGrpSpPr>
          <xdr:cNvPr id="161" name="Group 160">
            <a:extLst>
              <a:ext uri="{FF2B5EF4-FFF2-40B4-BE49-F238E27FC236}">
                <a16:creationId xmlns:a16="http://schemas.microsoft.com/office/drawing/2014/main" id="{CB571F37-C503-6546-1DC3-38260C049E41}"/>
              </a:ext>
            </a:extLst>
          </xdr:cNvPr>
          <xdr:cNvGrpSpPr/>
        </xdr:nvGrpSpPr>
        <xdr:grpSpPr>
          <a:xfrm>
            <a:off x="9884303" y="8411300"/>
            <a:ext cx="1234598" cy="437511"/>
            <a:chOff x="1341121" y="18600490"/>
            <a:chExt cx="1087120" cy="1201349"/>
          </a:xfrm>
        </xdr:grpSpPr>
        <xdr:grpSp>
          <xdr:nvGrpSpPr>
            <xdr:cNvPr id="168" name="Group 167">
              <a:extLst>
                <a:ext uri="{FF2B5EF4-FFF2-40B4-BE49-F238E27FC236}">
                  <a16:creationId xmlns:a16="http://schemas.microsoft.com/office/drawing/2014/main" id="{2594721D-AAD5-AB29-8F4B-27B88B8030B2}"/>
                </a:ext>
              </a:extLst>
            </xdr:cNvPr>
            <xdr:cNvGrpSpPr/>
          </xdr:nvGrpSpPr>
          <xdr:grpSpPr>
            <a:xfrm>
              <a:off x="1341121" y="18600490"/>
              <a:ext cx="1087120" cy="1201349"/>
              <a:chOff x="288607" y="2746443"/>
              <a:chExt cx="1672192" cy="820118"/>
            </a:xfrm>
          </xdr:grpSpPr>
          <xdr:pic>
            <xdr:nvPicPr>
              <xdr:cNvPr id="170" name="Picture 169">
                <a:extLst>
                  <a:ext uri="{FF2B5EF4-FFF2-40B4-BE49-F238E27FC236}">
                    <a16:creationId xmlns:a16="http://schemas.microsoft.com/office/drawing/2014/main" id="{92CEA44E-13F0-A5BD-CE0C-5CD4B67C828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96630" y="27464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171" name="Rectangle 170">
                <a:extLst>
                  <a:ext uri="{FF2B5EF4-FFF2-40B4-BE49-F238E27FC236}">
                    <a16:creationId xmlns:a16="http://schemas.microsoft.com/office/drawing/2014/main" id="{D0A4CEF3-660B-33E3-CECD-F2D34C68B38F}"/>
                  </a:ext>
                </a:extLst>
              </xdr:cNvPr>
              <xdr:cNvSpPr/>
            </xdr:nvSpPr>
            <xdr:spPr>
              <a:xfrm>
                <a:off x="288607" y="2748129"/>
                <a:ext cx="1672192" cy="797625"/>
              </a:xfrm>
              <a:prstGeom prst="rect">
                <a:avLst/>
              </a:prstGeom>
              <a:solidFill>
                <a:schemeClr val="accent6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69" name="Rectangle 168">
              <a:extLst>
                <a:ext uri="{FF2B5EF4-FFF2-40B4-BE49-F238E27FC236}">
                  <a16:creationId xmlns:a16="http://schemas.microsoft.com/office/drawing/2014/main" id="{4FB4452D-9A0B-031D-E4D9-EF95C9948597}"/>
                </a:ext>
              </a:extLst>
            </xdr:cNvPr>
            <xdr:cNvSpPr/>
          </xdr:nvSpPr>
          <xdr:spPr>
            <a:xfrm rot="10800000">
              <a:off x="1686560" y="18915796"/>
              <a:ext cx="375920" cy="603691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K</a:t>
              </a:r>
            </a:p>
          </xdr:txBody>
        </xdr:sp>
      </xdr:grpSp>
      <xdr:grpSp>
        <xdr:nvGrpSpPr>
          <xdr:cNvPr id="162" name="Group 161">
            <a:extLst>
              <a:ext uri="{FF2B5EF4-FFF2-40B4-BE49-F238E27FC236}">
                <a16:creationId xmlns:a16="http://schemas.microsoft.com/office/drawing/2014/main" id="{61C890E5-F657-CAC8-1C2F-496130260797}"/>
              </a:ext>
            </a:extLst>
          </xdr:cNvPr>
          <xdr:cNvGrpSpPr/>
        </xdr:nvGrpSpPr>
        <xdr:grpSpPr>
          <a:xfrm>
            <a:off x="8594837" y="4357372"/>
            <a:ext cx="821598" cy="413067"/>
            <a:chOff x="3647441" y="19785639"/>
            <a:chExt cx="1168400" cy="1265881"/>
          </a:xfrm>
        </xdr:grpSpPr>
        <xdr:grpSp>
          <xdr:nvGrpSpPr>
            <xdr:cNvPr id="164" name="Group 163">
              <a:extLst>
                <a:ext uri="{FF2B5EF4-FFF2-40B4-BE49-F238E27FC236}">
                  <a16:creationId xmlns:a16="http://schemas.microsoft.com/office/drawing/2014/main" id="{C837C532-C8D2-80EB-CDEA-99F38496C8F0}"/>
                </a:ext>
              </a:extLst>
            </xdr:cNvPr>
            <xdr:cNvGrpSpPr/>
          </xdr:nvGrpSpPr>
          <xdr:grpSpPr>
            <a:xfrm>
              <a:off x="3647441" y="19785639"/>
              <a:ext cx="1168400" cy="1265881"/>
              <a:chOff x="3262466" y="1921933"/>
              <a:chExt cx="1326467" cy="1303866"/>
            </a:xfrm>
          </xdr:grpSpPr>
          <xdr:pic>
            <xdr:nvPicPr>
              <xdr:cNvPr id="166" name="Picture 165">
                <a:extLst>
                  <a:ext uri="{FF2B5EF4-FFF2-40B4-BE49-F238E27FC236}">
                    <a16:creationId xmlns:a16="http://schemas.microsoft.com/office/drawing/2014/main" id="{1D0EC1F6-3588-B916-420C-95C8EB1A8FA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285067" y="1921933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167" name="Rectangle 166">
                <a:extLst>
                  <a:ext uri="{FF2B5EF4-FFF2-40B4-BE49-F238E27FC236}">
                    <a16:creationId xmlns:a16="http://schemas.microsoft.com/office/drawing/2014/main" id="{0EDB1983-AC65-DCD1-2221-ECFF2D4203F8}"/>
                  </a:ext>
                </a:extLst>
              </xdr:cNvPr>
              <xdr:cNvSpPr/>
            </xdr:nvSpPr>
            <xdr:spPr>
              <a:xfrm>
                <a:off x="3262466" y="1928155"/>
                <a:ext cx="1326465" cy="1297644"/>
              </a:xfrm>
              <a:prstGeom prst="rect">
                <a:avLst/>
              </a:prstGeom>
              <a:solidFill>
                <a:schemeClr val="bg1">
                  <a:lumMod val="6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65" name="Rectangle 164">
              <a:extLst>
                <a:ext uri="{FF2B5EF4-FFF2-40B4-BE49-F238E27FC236}">
                  <a16:creationId xmlns:a16="http://schemas.microsoft.com/office/drawing/2014/main" id="{75C63831-FFB7-B711-BDAE-796DD1088E11}"/>
                </a:ext>
              </a:extLst>
            </xdr:cNvPr>
            <xdr:cNvSpPr/>
          </xdr:nvSpPr>
          <xdr:spPr>
            <a:xfrm rot="10800000">
              <a:off x="3921760" y="20041903"/>
              <a:ext cx="518160" cy="728916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A</a:t>
              </a:r>
            </a:p>
          </xdr:txBody>
        </xdr:sp>
      </xdr:grpSp>
    </xdr:grpSp>
    <xdr:clientData/>
  </xdr:twoCellAnchor>
  <xdr:twoCellAnchor>
    <xdr:from>
      <xdr:col>49</xdr:col>
      <xdr:colOff>114302</xdr:colOff>
      <xdr:row>24</xdr:row>
      <xdr:rowOff>286959</xdr:rowOff>
    </xdr:from>
    <xdr:to>
      <xdr:col>63</xdr:col>
      <xdr:colOff>106765</xdr:colOff>
      <xdr:row>39</xdr:row>
      <xdr:rowOff>55147</xdr:rowOff>
    </xdr:to>
    <xdr:grpSp>
      <xdr:nvGrpSpPr>
        <xdr:cNvPr id="216" name="Group 215">
          <a:extLst>
            <a:ext uri="{FF2B5EF4-FFF2-40B4-BE49-F238E27FC236}">
              <a16:creationId xmlns:a16="http://schemas.microsoft.com/office/drawing/2014/main" id="{0869DF3F-B0D4-C044-B330-5C1D01600220}"/>
            </a:ext>
          </a:extLst>
        </xdr:cNvPr>
        <xdr:cNvGrpSpPr/>
      </xdr:nvGrpSpPr>
      <xdr:grpSpPr>
        <a:xfrm rot="16200000">
          <a:off x="7517991" y="9831201"/>
          <a:ext cx="5680257" cy="5510394"/>
          <a:chOff x="7526753" y="3921453"/>
          <a:chExt cx="5673688" cy="5504263"/>
        </a:xfrm>
      </xdr:grpSpPr>
      <xdr:grpSp>
        <xdr:nvGrpSpPr>
          <xdr:cNvPr id="217" name="Group 216">
            <a:extLst>
              <a:ext uri="{FF2B5EF4-FFF2-40B4-BE49-F238E27FC236}">
                <a16:creationId xmlns:a16="http://schemas.microsoft.com/office/drawing/2014/main" id="{486CD0D9-E614-5437-9E16-DC35FBAED35E}"/>
              </a:ext>
            </a:extLst>
          </xdr:cNvPr>
          <xdr:cNvGrpSpPr/>
        </xdr:nvGrpSpPr>
        <xdr:grpSpPr>
          <a:xfrm>
            <a:off x="9483451" y="5178955"/>
            <a:ext cx="968779" cy="1331869"/>
            <a:chOff x="471714" y="5025569"/>
            <a:chExt cx="2313215" cy="2440216"/>
          </a:xfrm>
        </xdr:grpSpPr>
        <xdr:grpSp>
          <xdr:nvGrpSpPr>
            <xdr:cNvPr id="279" name="Group 278">
              <a:extLst>
                <a:ext uri="{FF2B5EF4-FFF2-40B4-BE49-F238E27FC236}">
                  <a16:creationId xmlns:a16="http://schemas.microsoft.com/office/drawing/2014/main" id="{5F717E4D-2A6F-0DBD-C21A-D64FA4BAE013}"/>
                </a:ext>
              </a:extLst>
            </xdr:cNvPr>
            <xdr:cNvGrpSpPr/>
          </xdr:nvGrpSpPr>
          <xdr:grpSpPr>
            <a:xfrm>
              <a:off x="471714" y="5025569"/>
              <a:ext cx="2313215" cy="2440216"/>
              <a:chOff x="1803360" y="3495864"/>
              <a:chExt cx="3091221" cy="954136"/>
            </a:xfrm>
          </xdr:grpSpPr>
          <xdr:pic>
            <xdr:nvPicPr>
              <xdr:cNvPr id="281" name="Picture 280">
                <a:extLst>
                  <a:ext uri="{FF2B5EF4-FFF2-40B4-BE49-F238E27FC236}">
                    <a16:creationId xmlns:a16="http://schemas.microsoft.com/office/drawing/2014/main" id="{7EB940EB-9D4B-0CB8-EF45-62EA8C67371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813870" y="3496103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282" name="Rectangle 281">
                <a:extLst>
                  <a:ext uri="{FF2B5EF4-FFF2-40B4-BE49-F238E27FC236}">
                    <a16:creationId xmlns:a16="http://schemas.microsoft.com/office/drawing/2014/main" id="{26A28065-616A-5599-6E00-8F2A11555869}"/>
                  </a:ext>
                </a:extLst>
              </xdr:cNvPr>
              <xdr:cNvSpPr/>
            </xdr:nvSpPr>
            <xdr:spPr>
              <a:xfrm>
                <a:off x="1803360" y="3495864"/>
                <a:ext cx="3091221" cy="932854"/>
              </a:xfrm>
              <a:prstGeom prst="rect">
                <a:avLst/>
              </a:prstGeom>
              <a:solidFill>
                <a:srgbClr val="000000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9368A0EE-24C0-532F-D5EA-B72BE3435721}"/>
                </a:ext>
              </a:extLst>
            </xdr:cNvPr>
            <xdr:cNvSpPr txBox="1"/>
          </xdr:nvSpPr>
          <xdr:spPr>
            <a:xfrm rot="5400000">
              <a:off x="1191571" y="5500989"/>
              <a:ext cx="619500" cy="1449666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clip" horzOverflow="clip" vert="horz" wrap="square" lIns="50800" tIns="50800" rIns="50800" bIns="50800" numCol="1" spcCol="38100" rtlCol="0" anchor="t">
              <a:spAutoFit/>
            </a:bodyPr>
            <a:lstStyle/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I</a:t>
              </a:r>
            </a:p>
          </xdr:txBody>
        </xdr:sp>
      </xdr:grpSp>
      <xdr:grpSp>
        <xdr:nvGrpSpPr>
          <xdr:cNvPr id="218" name="Group 217">
            <a:extLst>
              <a:ext uri="{FF2B5EF4-FFF2-40B4-BE49-F238E27FC236}">
                <a16:creationId xmlns:a16="http://schemas.microsoft.com/office/drawing/2014/main" id="{5DACD476-76A7-3485-2B3E-B6B8F3685CE3}"/>
              </a:ext>
            </a:extLst>
          </xdr:cNvPr>
          <xdr:cNvGrpSpPr/>
        </xdr:nvGrpSpPr>
        <xdr:grpSpPr>
          <a:xfrm>
            <a:off x="10419235" y="4495269"/>
            <a:ext cx="2047070" cy="1604019"/>
            <a:chOff x="7415704" y="5252355"/>
            <a:chExt cx="3184873" cy="3056534"/>
          </a:xfrm>
        </xdr:grpSpPr>
        <xdr:grpSp>
          <xdr:nvGrpSpPr>
            <xdr:cNvPr id="275" name="Group 274">
              <a:extLst>
                <a:ext uri="{FF2B5EF4-FFF2-40B4-BE49-F238E27FC236}">
                  <a16:creationId xmlns:a16="http://schemas.microsoft.com/office/drawing/2014/main" id="{5D4DE210-77D4-0D12-3F2C-7A8E779392E8}"/>
                </a:ext>
              </a:extLst>
            </xdr:cNvPr>
            <xdr:cNvGrpSpPr/>
          </xdr:nvGrpSpPr>
          <xdr:grpSpPr>
            <a:xfrm>
              <a:off x="7415704" y="5252355"/>
              <a:ext cx="3184873" cy="3056534"/>
              <a:chOff x="5969000" y="3563312"/>
              <a:chExt cx="3056466" cy="955052"/>
            </a:xfrm>
          </xdr:grpSpPr>
          <xdr:pic>
            <xdr:nvPicPr>
              <xdr:cNvPr id="277" name="Picture 276">
                <a:extLst>
                  <a:ext uri="{FF2B5EF4-FFF2-40B4-BE49-F238E27FC236}">
                    <a16:creationId xmlns:a16="http://schemas.microsoft.com/office/drawing/2014/main" id="{5E305013-0D28-C499-1D0F-296193C84C0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5969000" y="3564467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278" name="Rectangle 277">
                <a:extLst>
                  <a:ext uri="{FF2B5EF4-FFF2-40B4-BE49-F238E27FC236}">
                    <a16:creationId xmlns:a16="http://schemas.microsoft.com/office/drawing/2014/main" id="{74747D9C-1696-62D3-85C1-23DB08F440E3}"/>
                  </a:ext>
                </a:extLst>
              </xdr:cNvPr>
              <xdr:cNvSpPr/>
            </xdr:nvSpPr>
            <xdr:spPr>
              <a:xfrm>
                <a:off x="5982239" y="3563312"/>
                <a:ext cx="3038286" cy="926876"/>
              </a:xfrm>
              <a:prstGeom prst="rect">
                <a:avLst/>
              </a:prstGeom>
              <a:solidFill>
                <a:schemeClr val="accent1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76" name="Rectangle 275">
              <a:extLst>
                <a:ext uri="{FF2B5EF4-FFF2-40B4-BE49-F238E27FC236}">
                  <a16:creationId xmlns:a16="http://schemas.microsoft.com/office/drawing/2014/main" id="{62D4986F-82A5-D8CD-CE51-BC9D083AEDE6}"/>
                </a:ext>
              </a:extLst>
            </xdr:cNvPr>
            <xdr:cNvSpPr/>
          </xdr:nvSpPr>
          <xdr:spPr>
            <a:xfrm rot="5400000">
              <a:off x="8075766" y="5979404"/>
              <a:ext cx="1755468" cy="1004271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7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J</a:t>
              </a:r>
            </a:p>
          </xdr:txBody>
        </xdr:sp>
      </xdr:grpSp>
      <xdr:grpSp>
        <xdr:nvGrpSpPr>
          <xdr:cNvPr id="219" name="Group 218">
            <a:extLst>
              <a:ext uri="{FF2B5EF4-FFF2-40B4-BE49-F238E27FC236}">
                <a16:creationId xmlns:a16="http://schemas.microsoft.com/office/drawing/2014/main" id="{0558D0CC-BBB9-B19D-9B3E-068039186B38}"/>
              </a:ext>
            </a:extLst>
          </xdr:cNvPr>
          <xdr:cNvGrpSpPr/>
        </xdr:nvGrpSpPr>
        <xdr:grpSpPr>
          <a:xfrm rot="5400000">
            <a:off x="9626308" y="6023055"/>
            <a:ext cx="1020663" cy="1963306"/>
            <a:chOff x="4236358" y="10468429"/>
            <a:chExt cx="2450052" cy="2540000"/>
          </a:xfrm>
        </xdr:grpSpPr>
        <xdr:grpSp>
          <xdr:nvGrpSpPr>
            <xdr:cNvPr id="271" name="Group 270">
              <a:extLst>
                <a:ext uri="{FF2B5EF4-FFF2-40B4-BE49-F238E27FC236}">
                  <a16:creationId xmlns:a16="http://schemas.microsoft.com/office/drawing/2014/main" id="{9A39F935-CC0B-1471-1D65-6FE8425B1A27}"/>
                </a:ext>
              </a:extLst>
            </xdr:cNvPr>
            <xdr:cNvGrpSpPr/>
          </xdr:nvGrpSpPr>
          <xdr:grpSpPr>
            <a:xfrm>
              <a:off x="4236358" y="10468429"/>
              <a:ext cx="2450052" cy="2540000"/>
              <a:chOff x="5969000" y="3564467"/>
              <a:chExt cx="3056466" cy="953897"/>
            </a:xfrm>
          </xdr:grpSpPr>
          <xdr:pic>
            <xdr:nvPicPr>
              <xdr:cNvPr id="273" name="Picture 272">
                <a:extLst>
                  <a:ext uri="{FF2B5EF4-FFF2-40B4-BE49-F238E27FC236}">
                    <a16:creationId xmlns:a16="http://schemas.microsoft.com/office/drawing/2014/main" id="{8733D1CE-A109-CA09-4EDC-C778C6B4800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5969000" y="3564467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274" name="Rectangle 273">
                <a:extLst>
                  <a:ext uri="{FF2B5EF4-FFF2-40B4-BE49-F238E27FC236}">
                    <a16:creationId xmlns:a16="http://schemas.microsoft.com/office/drawing/2014/main" id="{1CDE69BB-B813-99FE-FBCB-A54F248BD03D}"/>
                  </a:ext>
                </a:extLst>
              </xdr:cNvPr>
              <xdr:cNvSpPr/>
            </xdr:nvSpPr>
            <xdr:spPr>
              <a:xfrm>
                <a:off x="5980316" y="3564467"/>
                <a:ext cx="3044193" cy="926643"/>
              </a:xfrm>
              <a:prstGeom prst="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72" name="Rectangle 271">
              <a:extLst>
                <a:ext uri="{FF2B5EF4-FFF2-40B4-BE49-F238E27FC236}">
                  <a16:creationId xmlns:a16="http://schemas.microsoft.com/office/drawing/2014/main" id="{BA58D90A-C54D-505D-004A-70669ACED54F}"/>
                </a:ext>
              </a:extLst>
            </xdr:cNvPr>
            <xdr:cNvSpPr/>
          </xdr:nvSpPr>
          <xdr:spPr>
            <a:xfrm>
              <a:off x="4952998" y="11146428"/>
              <a:ext cx="952499" cy="948146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5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H</a:t>
              </a:r>
            </a:p>
          </xdr:txBody>
        </xdr:sp>
      </xdr:grpSp>
      <xdr:grpSp>
        <xdr:nvGrpSpPr>
          <xdr:cNvPr id="220" name="Group 219">
            <a:extLst>
              <a:ext uri="{FF2B5EF4-FFF2-40B4-BE49-F238E27FC236}">
                <a16:creationId xmlns:a16="http://schemas.microsoft.com/office/drawing/2014/main" id="{44937748-322F-A50A-F030-2B64E2DCD46F}"/>
              </a:ext>
            </a:extLst>
          </xdr:cNvPr>
          <xdr:cNvGrpSpPr/>
        </xdr:nvGrpSpPr>
        <xdr:grpSpPr>
          <a:xfrm>
            <a:off x="9488713" y="7523614"/>
            <a:ext cx="1628861" cy="900057"/>
            <a:chOff x="414384" y="10664222"/>
            <a:chExt cx="2616365" cy="2538697"/>
          </a:xfrm>
        </xdr:grpSpPr>
        <xdr:grpSp>
          <xdr:nvGrpSpPr>
            <xdr:cNvPr id="267" name="Group 266">
              <a:extLst>
                <a:ext uri="{FF2B5EF4-FFF2-40B4-BE49-F238E27FC236}">
                  <a16:creationId xmlns:a16="http://schemas.microsoft.com/office/drawing/2014/main" id="{E3A0FEBC-4E0C-7B9C-CD0F-4230A64958EB}"/>
                </a:ext>
              </a:extLst>
            </xdr:cNvPr>
            <xdr:cNvGrpSpPr/>
          </xdr:nvGrpSpPr>
          <xdr:grpSpPr>
            <a:xfrm>
              <a:off x="414384" y="10664222"/>
              <a:ext cx="2616365" cy="2538697"/>
              <a:chOff x="279697" y="1629743"/>
              <a:chExt cx="1648539" cy="820118"/>
            </a:xfrm>
          </xdr:grpSpPr>
          <xdr:pic>
            <xdr:nvPicPr>
              <xdr:cNvPr id="269" name="Picture 268">
                <a:extLst>
                  <a:ext uri="{FF2B5EF4-FFF2-40B4-BE49-F238E27FC236}">
                    <a16:creationId xmlns:a16="http://schemas.microsoft.com/office/drawing/2014/main" id="{8428E470-3E07-3FEC-C971-FEC53868C99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79697" y="16297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270" name="Rectangle 269">
                <a:extLst>
                  <a:ext uri="{FF2B5EF4-FFF2-40B4-BE49-F238E27FC236}">
                    <a16:creationId xmlns:a16="http://schemas.microsoft.com/office/drawing/2014/main" id="{BE841AE4-34D5-530A-CC27-34A26A38B37C}"/>
                  </a:ext>
                </a:extLst>
              </xdr:cNvPr>
              <xdr:cNvSpPr/>
            </xdr:nvSpPr>
            <xdr:spPr>
              <a:xfrm>
                <a:off x="291292" y="1633012"/>
                <a:ext cx="1623386" cy="790019"/>
              </a:xfrm>
              <a:prstGeom prst="rect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68" name="Rectangle 267">
              <a:extLst>
                <a:ext uri="{FF2B5EF4-FFF2-40B4-BE49-F238E27FC236}">
                  <a16:creationId xmlns:a16="http://schemas.microsoft.com/office/drawing/2014/main" id="{4441223B-56AD-A8DA-42D2-75C6713D928C}"/>
                </a:ext>
              </a:extLst>
            </xdr:cNvPr>
            <xdr:cNvSpPr/>
          </xdr:nvSpPr>
          <xdr:spPr>
            <a:xfrm rot="5400000">
              <a:off x="830648" y="11387561"/>
              <a:ext cx="1789837" cy="657470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L</a:t>
              </a:r>
            </a:p>
          </xdr:txBody>
        </xdr:sp>
      </xdr:grpSp>
      <xdr:grpSp>
        <xdr:nvGrpSpPr>
          <xdr:cNvPr id="221" name="Group 220">
            <a:extLst>
              <a:ext uri="{FF2B5EF4-FFF2-40B4-BE49-F238E27FC236}">
                <a16:creationId xmlns:a16="http://schemas.microsoft.com/office/drawing/2014/main" id="{17B3DB43-69C9-4018-8803-833D6D3D1567}"/>
              </a:ext>
            </a:extLst>
          </xdr:cNvPr>
          <xdr:cNvGrpSpPr/>
        </xdr:nvGrpSpPr>
        <xdr:grpSpPr>
          <a:xfrm>
            <a:off x="11135984" y="8122644"/>
            <a:ext cx="2064457" cy="1303072"/>
            <a:chOff x="2558143" y="14769568"/>
            <a:chExt cx="2603500" cy="3264432"/>
          </a:xfrm>
        </xdr:grpSpPr>
        <xdr:grpSp>
          <xdr:nvGrpSpPr>
            <xdr:cNvPr id="263" name="Group 262">
              <a:extLst>
                <a:ext uri="{FF2B5EF4-FFF2-40B4-BE49-F238E27FC236}">
                  <a16:creationId xmlns:a16="http://schemas.microsoft.com/office/drawing/2014/main" id="{8302310A-7130-DB02-F49C-744EFAE575C9}"/>
                </a:ext>
              </a:extLst>
            </xdr:cNvPr>
            <xdr:cNvGrpSpPr/>
          </xdr:nvGrpSpPr>
          <xdr:grpSpPr>
            <a:xfrm>
              <a:off x="2558143" y="14769568"/>
              <a:ext cx="2603500" cy="3264432"/>
              <a:chOff x="278210" y="2746443"/>
              <a:chExt cx="1666959" cy="820118"/>
            </a:xfrm>
          </xdr:grpSpPr>
          <xdr:pic>
            <xdr:nvPicPr>
              <xdr:cNvPr id="265" name="Picture 264">
                <a:extLst>
                  <a:ext uri="{FF2B5EF4-FFF2-40B4-BE49-F238E27FC236}">
                    <a16:creationId xmlns:a16="http://schemas.microsoft.com/office/drawing/2014/main" id="{3985B98D-59BE-2EC9-498B-10CF5124E3C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96630" y="27464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266" name="Rectangle 265">
                <a:extLst>
                  <a:ext uri="{FF2B5EF4-FFF2-40B4-BE49-F238E27FC236}">
                    <a16:creationId xmlns:a16="http://schemas.microsoft.com/office/drawing/2014/main" id="{23A49615-FCDB-43A5-9B27-075800E7B26E}"/>
                  </a:ext>
                </a:extLst>
              </xdr:cNvPr>
              <xdr:cNvSpPr/>
            </xdr:nvSpPr>
            <xdr:spPr>
              <a:xfrm>
                <a:off x="278210" y="2748400"/>
                <a:ext cx="1661150" cy="804487"/>
              </a:xfrm>
              <a:prstGeom prst="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64" name="Rectangle 263">
              <a:extLst>
                <a:ext uri="{FF2B5EF4-FFF2-40B4-BE49-F238E27FC236}">
                  <a16:creationId xmlns:a16="http://schemas.microsoft.com/office/drawing/2014/main" id="{48213345-6F02-D1C1-5F3C-D231F36F3100}"/>
                </a:ext>
              </a:extLst>
            </xdr:cNvPr>
            <xdr:cNvSpPr/>
          </xdr:nvSpPr>
          <xdr:spPr>
            <a:xfrm rot="5400000">
              <a:off x="2976101" y="15972978"/>
              <a:ext cx="1531728" cy="429975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M</a:t>
              </a:r>
            </a:p>
          </xdr:txBody>
        </xdr:sp>
      </xdr:grpSp>
      <xdr:grpSp>
        <xdr:nvGrpSpPr>
          <xdr:cNvPr id="222" name="Group 221">
            <a:extLst>
              <a:ext uri="{FF2B5EF4-FFF2-40B4-BE49-F238E27FC236}">
                <a16:creationId xmlns:a16="http://schemas.microsoft.com/office/drawing/2014/main" id="{4DFABD51-7EE0-8041-3764-D11CDC8317B4}"/>
              </a:ext>
            </a:extLst>
          </xdr:cNvPr>
          <xdr:cNvGrpSpPr/>
        </xdr:nvGrpSpPr>
        <xdr:grpSpPr>
          <a:xfrm>
            <a:off x="9401935" y="3928477"/>
            <a:ext cx="1068405" cy="1250186"/>
            <a:chOff x="3613420" y="1115787"/>
            <a:chExt cx="1956428" cy="2485569"/>
          </a:xfrm>
        </xdr:grpSpPr>
        <xdr:grpSp>
          <xdr:nvGrpSpPr>
            <xdr:cNvPr id="259" name="Group 258">
              <a:extLst>
                <a:ext uri="{FF2B5EF4-FFF2-40B4-BE49-F238E27FC236}">
                  <a16:creationId xmlns:a16="http://schemas.microsoft.com/office/drawing/2014/main" id="{EFFA43B5-81BA-FCD4-A66F-A40D8400DFB7}"/>
                </a:ext>
              </a:extLst>
            </xdr:cNvPr>
            <xdr:cNvGrpSpPr/>
          </xdr:nvGrpSpPr>
          <xdr:grpSpPr>
            <a:xfrm>
              <a:off x="3613420" y="1115787"/>
              <a:ext cx="1956428" cy="2485569"/>
              <a:chOff x="6169895" y="1900224"/>
              <a:chExt cx="1340038" cy="1308641"/>
            </a:xfrm>
          </xdr:grpSpPr>
          <xdr:pic>
            <xdr:nvPicPr>
              <xdr:cNvPr id="261" name="Picture 260">
                <a:extLst>
                  <a:ext uri="{FF2B5EF4-FFF2-40B4-BE49-F238E27FC236}">
                    <a16:creationId xmlns:a16="http://schemas.microsoft.com/office/drawing/2014/main" id="{C97184FF-F4CE-D892-2024-516C3599709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06067" y="1904999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262" name="Rectangle 261">
                <a:extLst>
                  <a:ext uri="{FF2B5EF4-FFF2-40B4-BE49-F238E27FC236}">
                    <a16:creationId xmlns:a16="http://schemas.microsoft.com/office/drawing/2014/main" id="{6125A5EE-DE6B-79C5-4527-0D97A2A34E4E}"/>
                  </a:ext>
                </a:extLst>
              </xdr:cNvPr>
              <xdr:cNvSpPr/>
            </xdr:nvSpPr>
            <xdr:spPr>
              <a:xfrm>
                <a:off x="6169895" y="1900224"/>
                <a:ext cx="1304812" cy="1294313"/>
              </a:xfrm>
              <a:prstGeom prst="rect">
                <a:avLst/>
              </a:prstGeom>
              <a:solidFill>
                <a:schemeClr val="bg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60" name="Rectangle 259">
              <a:extLst>
                <a:ext uri="{FF2B5EF4-FFF2-40B4-BE49-F238E27FC236}">
                  <a16:creationId xmlns:a16="http://schemas.microsoft.com/office/drawing/2014/main" id="{03C8D2EF-4764-8CCB-C29D-689560491441}"/>
                </a:ext>
              </a:extLst>
            </xdr:cNvPr>
            <xdr:cNvSpPr/>
          </xdr:nvSpPr>
          <xdr:spPr>
            <a:xfrm rot="5400000">
              <a:off x="4134747" y="1971367"/>
              <a:ext cx="965218" cy="729059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D</a:t>
              </a:r>
            </a:p>
          </xdr:txBody>
        </xdr:sp>
      </xdr:grpSp>
      <xdr:grpSp>
        <xdr:nvGrpSpPr>
          <xdr:cNvPr id="223" name="Group 222">
            <a:extLst>
              <a:ext uri="{FF2B5EF4-FFF2-40B4-BE49-F238E27FC236}">
                <a16:creationId xmlns:a16="http://schemas.microsoft.com/office/drawing/2014/main" id="{2EF42D65-F850-01B4-F16A-775E622D402D}"/>
              </a:ext>
            </a:extLst>
          </xdr:cNvPr>
          <xdr:cNvGrpSpPr/>
        </xdr:nvGrpSpPr>
        <xdr:grpSpPr>
          <a:xfrm rot="16200000">
            <a:off x="10630910" y="6985708"/>
            <a:ext cx="1645710" cy="648274"/>
            <a:chOff x="12690315" y="11131003"/>
            <a:chExt cx="2052208" cy="2359298"/>
          </a:xfrm>
        </xdr:grpSpPr>
        <xdr:grpSp>
          <xdr:nvGrpSpPr>
            <xdr:cNvPr id="255" name="Group 254">
              <a:extLst>
                <a:ext uri="{FF2B5EF4-FFF2-40B4-BE49-F238E27FC236}">
                  <a16:creationId xmlns:a16="http://schemas.microsoft.com/office/drawing/2014/main" id="{84A6A045-9532-A091-EC8A-F6FCDA2098DB}"/>
                </a:ext>
              </a:extLst>
            </xdr:cNvPr>
            <xdr:cNvGrpSpPr/>
          </xdr:nvGrpSpPr>
          <xdr:grpSpPr>
            <a:xfrm>
              <a:off x="12690315" y="11131003"/>
              <a:ext cx="2052208" cy="2359298"/>
              <a:chOff x="4697150" y="4663166"/>
              <a:chExt cx="1949975" cy="1266768"/>
            </a:xfrm>
          </xdr:grpSpPr>
          <xdr:pic>
            <xdr:nvPicPr>
              <xdr:cNvPr id="257" name="Picture 256">
                <a:extLst>
                  <a:ext uri="{FF2B5EF4-FFF2-40B4-BE49-F238E27FC236}">
                    <a16:creationId xmlns:a16="http://schemas.microsoft.com/office/drawing/2014/main" id="{A61EB492-9493-1014-04F7-CDE1CF57A8C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4697150" y="4664124"/>
                <a:ext cx="1932472" cy="1265810"/>
              </a:xfrm>
              <a:prstGeom prst="rect">
                <a:avLst/>
              </a:prstGeom>
            </xdr:spPr>
          </xdr:pic>
          <xdr:sp macro="" textlink="">
            <xdr:nvSpPr>
              <xdr:cNvPr id="258" name="Rectangle 257">
                <a:extLst>
                  <a:ext uri="{FF2B5EF4-FFF2-40B4-BE49-F238E27FC236}">
                    <a16:creationId xmlns:a16="http://schemas.microsoft.com/office/drawing/2014/main" id="{298DEBD9-1B90-9005-4D7F-ECB362F57826}"/>
                  </a:ext>
                </a:extLst>
              </xdr:cNvPr>
              <xdr:cNvSpPr/>
            </xdr:nvSpPr>
            <xdr:spPr>
              <a:xfrm>
                <a:off x="4704394" y="4663166"/>
                <a:ext cx="1942731" cy="1256872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56" name="Rectangle 255">
              <a:extLst>
                <a:ext uri="{FF2B5EF4-FFF2-40B4-BE49-F238E27FC236}">
                  <a16:creationId xmlns:a16="http://schemas.microsoft.com/office/drawing/2014/main" id="{76883610-3AD9-9418-8BCB-C3BB6CE1B80D}"/>
                </a:ext>
              </a:extLst>
            </xdr:cNvPr>
            <xdr:cNvSpPr/>
          </xdr:nvSpPr>
          <xdr:spPr>
            <a:xfrm rot="10800000">
              <a:off x="13302707" y="11895558"/>
              <a:ext cx="980077" cy="866483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F</a:t>
              </a:r>
            </a:p>
          </xdr:txBody>
        </xdr:sp>
      </xdr:grpSp>
      <xdr:grpSp>
        <xdr:nvGrpSpPr>
          <xdr:cNvPr id="224" name="Group 223">
            <a:extLst>
              <a:ext uri="{FF2B5EF4-FFF2-40B4-BE49-F238E27FC236}">
                <a16:creationId xmlns:a16="http://schemas.microsoft.com/office/drawing/2014/main" id="{F31AD568-C7E3-13A4-6F48-ED43324C1520}"/>
              </a:ext>
            </a:extLst>
          </xdr:cNvPr>
          <xdr:cNvGrpSpPr/>
        </xdr:nvGrpSpPr>
        <xdr:grpSpPr>
          <a:xfrm>
            <a:off x="7526753" y="3922986"/>
            <a:ext cx="1067835" cy="840489"/>
            <a:chOff x="7403600" y="19633475"/>
            <a:chExt cx="1431609" cy="2135415"/>
          </a:xfrm>
        </xdr:grpSpPr>
        <xdr:grpSp>
          <xdr:nvGrpSpPr>
            <xdr:cNvPr id="251" name="Group 250">
              <a:extLst>
                <a:ext uri="{FF2B5EF4-FFF2-40B4-BE49-F238E27FC236}">
                  <a16:creationId xmlns:a16="http://schemas.microsoft.com/office/drawing/2014/main" id="{5F6794F2-25E7-235D-96F4-A4BDD43DE243}"/>
                </a:ext>
              </a:extLst>
            </xdr:cNvPr>
            <xdr:cNvGrpSpPr/>
          </xdr:nvGrpSpPr>
          <xdr:grpSpPr>
            <a:xfrm>
              <a:off x="7403600" y="19633475"/>
              <a:ext cx="1431609" cy="2135415"/>
              <a:chOff x="6206067" y="1900075"/>
              <a:chExt cx="1303867" cy="1308790"/>
            </a:xfrm>
          </xdr:grpSpPr>
          <xdr:pic>
            <xdr:nvPicPr>
              <xdr:cNvPr id="253" name="Picture 252">
                <a:extLst>
                  <a:ext uri="{FF2B5EF4-FFF2-40B4-BE49-F238E27FC236}">
                    <a16:creationId xmlns:a16="http://schemas.microsoft.com/office/drawing/2014/main" id="{D1BD7158-98AF-6AA7-D13A-3261E0D2553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06067" y="1904999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254" name="Rectangle 253">
                <a:extLst>
                  <a:ext uri="{FF2B5EF4-FFF2-40B4-BE49-F238E27FC236}">
                    <a16:creationId xmlns:a16="http://schemas.microsoft.com/office/drawing/2014/main" id="{49DD25FE-989A-4360-E88B-FAEE4D8E1F06}"/>
                  </a:ext>
                </a:extLst>
              </xdr:cNvPr>
              <xdr:cNvSpPr/>
            </xdr:nvSpPr>
            <xdr:spPr>
              <a:xfrm>
                <a:off x="6206868" y="1900075"/>
                <a:ext cx="1303066" cy="1291865"/>
              </a:xfrm>
              <a:prstGeom prst="rect">
                <a:avLst/>
              </a:prstGeom>
              <a:solidFill>
                <a:schemeClr val="accent4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52" name="Rectangle 251">
              <a:extLst>
                <a:ext uri="{FF2B5EF4-FFF2-40B4-BE49-F238E27FC236}">
                  <a16:creationId xmlns:a16="http://schemas.microsoft.com/office/drawing/2014/main" id="{87B2301B-69B4-D912-3E44-B23551BA6F57}"/>
                </a:ext>
              </a:extLst>
            </xdr:cNvPr>
            <xdr:cNvSpPr/>
          </xdr:nvSpPr>
          <xdr:spPr>
            <a:xfrm rot="5400000">
              <a:off x="7482573" y="20578345"/>
              <a:ext cx="1347100" cy="424201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B</a:t>
              </a:r>
            </a:p>
          </xdr:txBody>
        </xdr:sp>
      </xdr:grpSp>
      <xdr:grpSp>
        <xdr:nvGrpSpPr>
          <xdr:cNvPr id="225" name="Group 224">
            <a:extLst>
              <a:ext uri="{FF2B5EF4-FFF2-40B4-BE49-F238E27FC236}">
                <a16:creationId xmlns:a16="http://schemas.microsoft.com/office/drawing/2014/main" id="{00785EAA-48BF-63FB-C6D2-DB3000584111}"/>
              </a:ext>
            </a:extLst>
          </xdr:cNvPr>
          <xdr:cNvGrpSpPr/>
        </xdr:nvGrpSpPr>
        <xdr:grpSpPr>
          <a:xfrm>
            <a:off x="8596149" y="3921453"/>
            <a:ext cx="810298" cy="438888"/>
            <a:chOff x="486956" y="1089253"/>
            <a:chExt cx="1152433" cy="1263876"/>
          </a:xfrm>
        </xdr:grpSpPr>
        <xdr:grpSp>
          <xdr:nvGrpSpPr>
            <xdr:cNvPr id="247" name="Group 246">
              <a:extLst>
                <a:ext uri="{FF2B5EF4-FFF2-40B4-BE49-F238E27FC236}">
                  <a16:creationId xmlns:a16="http://schemas.microsoft.com/office/drawing/2014/main" id="{00268E9F-1AC6-B726-6AA9-D905F3D089F8}"/>
                </a:ext>
              </a:extLst>
            </xdr:cNvPr>
            <xdr:cNvGrpSpPr/>
          </xdr:nvGrpSpPr>
          <xdr:grpSpPr>
            <a:xfrm>
              <a:off x="486956" y="1091837"/>
              <a:ext cx="1152433" cy="1261292"/>
              <a:chOff x="3253006" y="1912346"/>
              <a:chExt cx="1335928" cy="1313453"/>
            </a:xfrm>
            <a:solidFill>
              <a:schemeClr val="accent2">
                <a:lumMod val="75000"/>
              </a:schemeClr>
            </a:solidFill>
          </xdr:grpSpPr>
          <xdr:pic>
            <xdr:nvPicPr>
              <xdr:cNvPr id="249" name="Picture 248">
                <a:extLst>
                  <a:ext uri="{FF2B5EF4-FFF2-40B4-BE49-F238E27FC236}">
                    <a16:creationId xmlns:a16="http://schemas.microsoft.com/office/drawing/2014/main" id="{B5A759CA-6FA4-5E02-1B75-4BB8EC13097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285067" y="1921933"/>
                <a:ext cx="1303866" cy="1303866"/>
              </a:xfrm>
              <a:prstGeom prst="rect">
                <a:avLst/>
              </a:prstGeom>
              <a:grpFill/>
            </xdr:spPr>
          </xdr:pic>
          <xdr:sp macro="" textlink="">
            <xdr:nvSpPr>
              <xdr:cNvPr id="250" name="Rectangle 249">
                <a:extLst>
                  <a:ext uri="{FF2B5EF4-FFF2-40B4-BE49-F238E27FC236}">
                    <a16:creationId xmlns:a16="http://schemas.microsoft.com/office/drawing/2014/main" id="{7FBD30D7-A3EC-58D0-7888-F865BFCFB2A4}"/>
                  </a:ext>
                </a:extLst>
              </xdr:cNvPr>
              <xdr:cNvSpPr/>
            </xdr:nvSpPr>
            <xdr:spPr>
              <a:xfrm>
                <a:off x="3253006" y="1912346"/>
                <a:ext cx="1335928" cy="1284690"/>
              </a:xfrm>
              <a:prstGeom prst="rect">
                <a:avLst/>
              </a:prstGeom>
              <a:grpFill/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48" name="Rectangle 247">
              <a:extLst>
                <a:ext uri="{FF2B5EF4-FFF2-40B4-BE49-F238E27FC236}">
                  <a16:creationId xmlns:a16="http://schemas.microsoft.com/office/drawing/2014/main" id="{35F80269-6695-9587-B45E-C1625DDD7629}"/>
                </a:ext>
              </a:extLst>
            </xdr:cNvPr>
            <xdr:cNvSpPr/>
          </xdr:nvSpPr>
          <xdr:spPr>
            <a:xfrm rot="5400000">
              <a:off x="464593" y="1503565"/>
              <a:ext cx="1163776" cy="335151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C</a:t>
              </a:r>
            </a:p>
          </xdr:txBody>
        </xdr:sp>
      </xdr:grpSp>
      <xdr:grpSp>
        <xdr:nvGrpSpPr>
          <xdr:cNvPr id="226" name="Group 225">
            <a:extLst>
              <a:ext uri="{FF2B5EF4-FFF2-40B4-BE49-F238E27FC236}">
                <a16:creationId xmlns:a16="http://schemas.microsoft.com/office/drawing/2014/main" id="{C25FB860-32F1-5E51-CFD6-D01961D8C280}"/>
              </a:ext>
            </a:extLst>
          </xdr:cNvPr>
          <xdr:cNvGrpSpPr/>
        </xdr:nvGrpSpPr>
        <xdr:grpSpPr>
          <a:xfrm>
            <a:off x="11771266" y="6084378"/>
            <a:ext cx="1279017" cy="846269"/>
            <a:chOff x="9052922" y="10123712"/>
            <a:chExt cx="2123440" cy="2153557"/>
          </a:xfrm>
        </xdr:grpSpPr>
        <xdr:grpSp>
          <xdr:nvGrpSpPr>
            <xdr:cNvPr id="243" name="Group 242">
              <a:extLst>
                <a:ext uri="{FF2B5EF4-FFF2-40B4-BE49-F238E27FC236}">
                  <a16:creationId xmlns:a16="http://schemas.microsoft.com/office/drawing/2014/main" id="{95820DE0-5AD7-FB02-CF7D-D718D16C5A13}"/>
                </a:ext>
              </a:extLst>
            </xdr:cNvPr>
            <xdr:cNvGrpSpPr/>
          </xdr:nvGrpSpPr>
          <xdr:grpSpPr>
            <a:xfrm>
              <a:off x="9052922" y="10123712"/>
              <a:ext cx="2123440" cy="2153557"/>
              <a:chOff x="2166446" y="4637853"/>
              <a:chExt cx="1951819" cy="1297469"/>
            </a:xfrm>
          </xdr:grpSpPr>
          <xdr:pic>
            <xdr:nvPicPr>
              <xdr:cNvPr id="245" name="Picture 244">
                <a:extLst>
                  <a:ext uri="{FF2B5EF4-FFF2-40B4-BE49-F238E27FC236}">
                    <a16:creationId xmlns:a16="http://schemas.microsoft.com/office/drawing/2014/main" id="{30271743-C847-06C0-AF79-0D85EF4A080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2183009" y="4669512"/>
                <a:ext cx="1935256" cy="1265810"/>
              </a:xfrm>
              <a:prstGeom prst="rect">
                <a:avLst/>
              </a:prstGeom>
            </xdr:spPr>
          </xdr:pic>
          <xdr:sp macro="" textlink="">
            <xdr:nvSpPr>
              <xdr:cNvPr id="246" name="Rectangle 245">
                <a:extLst>
                  <a:ext uri="{FF2B5EF4-FFF2-40B4-BE49-F238E27FC236}">
                    <a16:creationId xmlns:a16="http://schemas.microsoft.com/office/drawing/2014/main" id="{37A111D5-5CC4-4B3D-9E74-E0D0BB7D367C}"/>
                  </a:ext>
                </a:extLst>
              </xdr:cNvPr>
              <xdr:cNvSpPr/>
            </xdr:nvSpPr>
            <xdr:spPr>
              <a:xfrm>
                <a:off x="2166446" y="4637853"/>
                <a:ext cx="1943332" cy="1291924"/>
              </a:xfrm>
              <a:prstGeom prst="rect">
                <a:avLst/>
              </a:prstGeom>
              <a:solidFill>
                <a:schemeClr val="accent6">
                  <a:lumMod val="20000"/>
                  <a:lumOff val="8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44" name="Rectangle 243">
              <a:extLst>
                <a:ext uri="{FF2B5EF4-FFF2-40B4-BE49-F238E27FC236}">
                  <a16:creationId xmlns:a16="http://schemas.microsoft.com/office/drawing/2014/main" id="{D1BBD45C-5413-8FA8-DCCF-0E09E45D8C78}"/>
                </a:ext>
              </a:extLst>
            </xdr:cNvPr>
            <xdr:cNvSpPr/>
          </xdr:nvSpPr>
          <xdr:spPr>
            <a:xfrm rot="5400000">
              <a:off x="9250330" y="10643569"/>
              <a:ext cx="1753665" cy="1060009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E</a:t>
              </a:r>
            </a:p>
          </xdr:txBody>
        </xdr:sp>
      </xdr:grpSp>
      <xdr:grpSp>
        <xdr:nvGrpSpPr>
          <xdr:cNvPr id="227" name="Group 226">
            <a:extLst>
              <a:ext uri="{FF2B5EF4-FFF2-40B4-BE49-F238E27FC236}">
                <a16:creationId xmlns:a16="http://schemas.microsoft.com/office/drawing/2014/main" id="{1D686862-E05B-0E9B-5D59-0B8A5DD844EA}"/>
              </a:ext>
            </a:extLst>
          </xdr:cNvPr>
          <xdr:cNvGrpSpPr/>
        </xdr:nvGrpSpPr>
        <xdr:grpSpPr>
          <a:xfrm>
            <a:off x="10459647" y="6016460"/>
            <a:ext cx="1308001" cy="479268"/>
            <a:chOff x="9071066" y="14493853"/>
            <a:chExt cx="1330960" cy="1400860"/>
          </a:xfrm>
        </xdr:grpSpPr>
        <xdr:grpSp>
          <xdr:nvGrpSpPr>
            <xdr:cNvPr id="239" name="Group 238">
              <a:extLst>
                <a:ext uri="{FF2B5EF4-FFF2-40B4-BE49-F238E27FC236}">
                  <a16:creationId xmlns:a16="http://schemas.microsoft.com/office/drawing/2014/main" id="{354AC390-B130-A38F-AD88-B2F82AD3F8B2}"/>
                </a:ext>
              </a:extLst>
            </xdr:cNvPr>
            <xdr:cNvGrpSpPr/>
          </xdr:nvGrpSpPr>
          <xdr:grpSpPr>
            <a:xfrm>
              <a:off x="9071066" y="14609355"/>
              <a:ext cx="1330960" cy="1258388"/>
              <a:chOff x="4656034" y="4721593"/>
              <a:chExt cx="1973588" cy="1275182"/>
            </a:xfrm>
          </xdr:grpSpPr>
          <xdr:pic>
            <xdr:nvPicPr>
              <xdr:cNvPr id="241" name="Picture 240">
                <a:extLst>
                  <a:ext uri="{FF2B5EF4-FFF2-40B4-BE49-F238E27FC236}">
                    <a16:creationId xmlns:a16="http://schemas.microsoft.com/office/drawing/2014/main" id="{6D533FBB-4554-022C-504C-2772FF224EA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4697150" y="4730964"/>
                <a:ext cx="1932472" cy="1265810"/>
              </a:xfrm>
              <a:prstGeom prst="rect">
                <a:avLst/>
              </a:prstGeom>
            </xdr:spPr>
          </xdr:pic>
          <xdr:sp macro="" textlink="">
            <xdr:nvSpPr>
              <xdr:cNvPr id="242" name="Rectangle 241">
                <a:extLst>
                  <a:ext uri="{FF2B5EF4-FFF2-40B4-BE49-F238E27FC236}">
                    <a16:creationId xmlns:a16="http://schemas.microsoft.com/office/drawing/2014/main" id="{19C31087-0B28-8DD8-720F-68371A13FC66}"/>
                  </a:ext>
                </a:extLst>
              </xdr:cNvPr>
              <xdr:cNvSpPr/>
            </xdr:nvSpPr>
            <xdr:spPr>
              <a:xfrm>
                <a:off x="4656034" y="4721593"/>
                <a:ext cx="1973588" cy="1275182"/>
              </a:xfrm>
              <a:prstGeom prst="rect">
                <a:avLst/>
              </a:prstGeom>
              <a:solidFill>
                <a:schemeClr val="accent3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40" name="Rectangle 239">
              <a:extLst>
                <a:ext uri="{FF2B5EF4-FFF2-40B4-BE49-F238E27FC236}">
                  <a16:creationId xmlns:a16="http://schemas.microsoft.com/office/drawing/2014/main" id="{BA67BE50-A715-790D-0519-ED40D3CC0F0E}"/>
                </a:ext>
              </a:extLst>
            </xdr:cNvPr>
            <xdr:cNvSpPr/>
          </xdr:nvSpPr>
          <xdr:spPr>
            <a:xfrm rot="5400000">
              <a:off x="9043009" y="15067404"/>
              <a:ext cx="1400860" cy="25375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G</a:t>
              </a:r>
            </a:p>
          </xdr:txBody>
        </xdr:sp>
      </xdr:grpSp>
      <xdr:grpSp>
        <xdr:nvGrpSpPr>
          <xdr:cNvPr id="228" name="Group 227">
            <a:extLst>
              <a:ext uri="{FF2B5EF4-FFF2-40B4-BE49-F238E27FC236}">
                <a16:creationId xmlns:a16="http://schemas.microsoft.com/office/drawing/2014/main" id="{12846EE5-5301-B955-A957-DC43CF4E27C8}"/>
              </a:ext>
            </a:extLst>
          </xdr:cNvPr>
          <xdr:cNvGrpSpPr/>
        </xdr:nvGrpSpPr>
        <xdr:grpSpPr>
          <a:xfrm>
            <a:off x="9884303" y="8411296"/>
            <a:ext cx="1234598" cy="438214"/>
            <a:chOff x="1341121" y="18600490"/>
            <a:chExt cx="1087120" cy="1203280"/>
          </a:xfrm>
        </xdr:grpSpPr>
        <xdr:grpSp>
          <xdr:nvGrpSpPr>
            <xdr:cNvPr id="235" name="Group 234">
              <a:extLst>
                <a:ext uri="{FF2B5EF4-FFF2-40B4-BE49-F238E27FC236}">
                  <a16:creationId xmlns:a16="http://schemas.microsoft.com/office/drawing/2014/main" id="{9BBFE8C9-E287-8DE4-B163-F743C1479D2B}"/>
                </a:ext>
              </a:extLst>
            </xdr:cNvPr>
            <xdr:cNvGrpSpPr/>
          </xdr:nvGrpSpPr>
          <xdr:grpSpPr>
            <a:xfrm>
              <a:off x="1341121" y="18600490"/>
              <a:ext cx="1087120" cy="1201349"/>
              <a:chOff x="288607" y="2746443"/>
              <a:chExt cx="1672192" cy="820118"/>
            </a:xfrm>
          </xdr:grpSpPr>
          <xdr:pic>
            <xdr:nvPicPr>
              <xdr:cNvPr id="237" name="Picture 236">
                <a:extLst>
                  <a:ext uri="{FF2B5EF4-FFF2-40B4-BE49-F238E27FC236}">
                    <a16:creationId xmlns:a16="http://schemas.microsoft.com/office/drawing/2014/main" id="{C2DBB965-B471-E119-2BBE-AD7BA1832AA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96630" y="27464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238" name="Rectangle 237">
                <a:extLst>
                  <a:ext uri="{FF2B5EF4-FFF2-40B4-BE49-F238E27FC236}">
                    <a16:creationId xmlns:a16="http://schemas.microsoft.com/office/drawing/2014/main" id="{070F501C-CC47-073F-FEA1-87146DCAFD80}"/>
                  </a:ext>
                </a:extLst>
              </xdr:cNvPr>
              <xdr:cNvSpPr/>
            </xdr:nvSpPr>
            <xdr:spPr>
              <a:xfrm>
                <a:off x="288607" y="2748129"/>
                <a:ext cx="1672192" cy="797625"/>
              </a:xfrm>
              <a:prstGeom prst="rect">
                <a:avLst/>
              </a:prstGeom>
              <a:solidFill>
                <a:schemeClr val="accent6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36" name="Rectangle 235">
              <a:extLst>
                <a:ext uri="{FF2B5EF4-FFF2-40B4-BE49-F238E27FC236}">
                  <a16:creationId xmlns:a16="http://schemas.microsoft.com/office/drawing/2014/main" id="{0107D88C-6CAD-16D9-5969-5FBA103C6865}"/>
                </a:ext>
              </a:extLst>
            </xdr:cNvPr>
            <xdr:cNvSpPr/>
          </xdr:nvSpPr>
          <xdr:spPr>
            <a:xfrm rot="5400000">
              <a:off x="1288390" y="19120845"/>
              <a:ext cx="1172259" cy="193592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K</a:t>
              </a:r>
            </a:p>
          </xdr:txBody>
        </xdr:sp>
      </xdr:grpSp>
      <xdr:grpSp>
        <xdr:nvGrpSpPr>
          <xdr:cNvPr id="229" name="Group 228">
            <a:extLst>
              <a:ext uri="{FF2B5EF4-FFF2-40B4-BE49-F238E27FC236}">
                <a16:creationId xmlns:a16="http://schemas.microsoft.com/office/drawing/2014/main" id="{2ABC1486-7EBB-5A09-A498-DA592983C598}"/>
              </a:ext>
            </a:extLst>
          </xdr:cNvPr>
          <xdr:cNvGrpSpPr/>
        </xdr:nvGrpSpPr>
        <xdr:grpSpPr>
          <a:xfrm>
            <a:off x="8594837" y="4357372"/>
            <a:ext cx="821598" cy="413067"/>
            <a:chOff x="3647441" y="19785639"/>
            <a:chExt cx="1168400" cy="1265881"/>
          </a:xfrm>
        </xdr:grpSpPr>
        <xdr:grpSp>
          <xdr:nvGrpSpPr>
            <xdr:cNvPr id="231" name="Group 230">
              <a:extLst>
                <a:ext uri="{FF2B5EF4-FFF2-40B4-BE49-F238E27FC236}">
                  <a16:creationId xmlns:a16="http://schemas.microsoft.com/office/drawing/2014/main" id="{116BBA9B-0E0D-BDBD-5F2F-6A23E2EAE3CE}"/>
                </a:ext>
              </a:extLst>
            </xdr:cNvPr>
            <xdr:cNvGrpSpPr/>
          </xdr:nvGrpSpPr>
          <xdr:grpSpPr>
            <a:xfrm>
              <a:off x="3647441" y="19785639"/>
              <a:ext cx="1168400" cy="1265881"/>
              <a:chOff x="3262466" y="1921933"/>
              <a:chExt cx="1326467" cy="1303866"/>
            </a:xfrm>
          </xdr:grpSpPr>
          <xdr:pic>
            <xdr:nvPicPr>
              <xdr:cNvPr id="233" name="Picture 232">
                <a:extLst>
                  <a:ext uri="{FF2B5EF4-FFF2-40B4-BE49-F238E27FC236}">
                    <a16:creationId xmlns:a16="http://schemas.microsoft.com/office/drawing/2014/main" id="{6E9FA643-12A6-B5FB-45BF-7A181954A01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285067" y="1921933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234" name="Rectangle 233">
                <a:extLst>
                  <a:ext uri="{FF2B5EF4-FFF2-40B4-BE49-F238E27FC236}">
                    <a16:creationId xmlns:a16="http://schemas.microsoft.com/office/drawing/2014/main" id="{25FFB1D5-5F34-AD49-6C80-7F022FEA501A}"/>
                  </a:ext>
                </a:extLst>
              </xdr:cNvPr>
              <xdr:cNvSpPr/>
            </xdr:nvSpPr>
            <xdr:spPr>
              <a:xfrm>
                <a:off x="3262466" y="1928155"/>
                <a:ext cx="1326465" cy="1297644"/>
              </a:xfrm>
              <a:prstGeom prst="rect">
                <a:avLst/>
              </a:prstGeom>
              <a:solidFill>
                <a:schemeClr val="bg1">
                  <a:lumMod val="6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32" name="Rectangle 231">
              <a:extLst>
                <a:ext uri="{FF2B5EF4-FFF2-40B4-BE49-F238E27FC236}">
                  <a16:creationId xmlns:a16="http://schemas.microsoft.com/office/drawing/2014/main" id="{9F91B112-7F10-6096-5D66-35DC70EF30C7}"/>
                </a:ext>
              </a:extLst>
            </xdr:cNvPr>
            <xdr:cNvSpPr/>
          </xdr:nvSpPr>
          <xdr:spPr>
            <a:xfrm rot="5400000">
              <a:off x="3622532" y="20237238"/>
              <a:ext cx="1116617" cy="338249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A</a:t>
              </a:r>
            </a:p>
          </xdr:txBody>
        </xdr:sp>
      </xdr:grpSp>
    </xdr:grpSp>
    <xdr:clientData/>
  </xdr:twoCellAnchor>
  <xdr:twoCellAnchor>
    <xdr:from>
      <xdr:col>64</xdr:col>
      <xdr:colOff>25400</xdr:colOff>
      <xdr:row>24</xdr:row>
      <xdr:rowOff>224253</xdr:rowOff>
    </xdr:from>
    <xdr:to>
      <xdr:col>78</xdr:col>
      <xdr:colOff>17863</xdr:colOff>
      <xdr:row>38</xdr:row>
      <xdr:rowOff>386141</xdr:rowOff>
    </xdr:to>
    <xdr:grpSp>
      <xdr:nvGrpSpPr>
        <xdr:cNvPr id="350" name="Group 349">
          <a:extLst>
            <a:ext uri="{FF2B5EF4-FFF2-40B4-BE49-F238E27FC236}">
              <a16:creationId xmlns:a16="http://schemas.microsoft.com/office/drawing/2014/main" id="{215AD88B-EE27-614A-96D8-3B23C6DB5A43}"/>
            </a:ext>
          </a:extLst>
        </xdr:cNvPr>
        <xdr:cNvGrpSpPr/>
      </xdr:nvGrpSpPr>
      <xdr:grpSpPr>
        <a:xfrm rot="5400000">
          <a:off x="13341377" y="9768276"/>
          <a:ext cx="5679819" cy="5510394"/>
          <a:chOff x="7526753" y="3921453"/>
          <a:chExt cx="5673688" cy="5504263"/>
        </a:xfrm>
      </xdr:grpSpPr>
      <xdr:grpSp>
        <xdr:nvGrpSpPr>
          <xdr:cNvPr id="351" name="Group 350">
            <a:extLst>
              <a:ext uri="{FF2B5EF4-FFF2-40B4-BE49-F238E27FC236}">
                <a16:creationId xmlns:a16="http://schemas.microsoft.com/office/drawing/2014/main" id="{002841DE-49B8-3055-4595-24B96446663F}"/>
              </a:ext>
            </a:extLst>
          </xdr:cNvPr>
          <xdr:cNvGrpSpPr/>
        </xdr:nvGrpSpPr>
        <xdr:grpSpPr>
          <a:xfrm>
            <a:off x="9483451" y="5178955"/>
            <a:ext cx="968779" cy="1331869"/>
            <a:chOff x="471714" y="5025569"/>
            <a:chExt cx="2313215" cy="2440216"/>
          </a:xfrm>
        </xdr:grpSpPr>
        <xdr:grpSp>
          <xdr:nvGrpSpPr>
            <xdr:cNvPr id="413" name="Group 412">
              <a:extLst>
                <a:ext uri="{FF2B5EF4-FFF2-40B4-BE49-F238E27FC236}">
                  <a16:creationId xmlns:a16="http://schemas.microsoft.com/office/drawing/2014/main" id="{B59EB376-0534-C18D-0CC3-7E554FFC22E3}"/>
                </a:ext>
              </a:extLst>
            </xdr:cNvPr>
            <xdr:cNvGrpSpPr/>
          </xdr:nvGrpSpPr>
          <xdr:grpSpPr>
            <a:xfrm>
              <a:off x="471714" y="5025569"/>
              <a:ext cx="2313215" cy="2440216"/>
              <a:chOff x="1803360" y="3495864"/>
              <a:chExt cx="3091221" cy="954136"/>
            </a:xfrm>
          </xdr:grpSpPr>
          <xdr:pic>
            <xdr:nvPicPr>
              <xdr:cNvPr id="415" name="Picture 414">
                <a:extLst>
                  <a:ext uri="{FF2B5EF4-FFF2-40B4-BE49-F238E27FC236}">
                    <a16:creationId xmlns:a16="http://schemas.microsoft.com/office/drawing/2014/main" id="{39FBF3E4-D9A1-2A8E-47D8-57075F9197C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813870" y="3496103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416" name="Rectangle 415">
                <a:extLst>
                  <a:ext uri="{FF2B5EF4-FFF2-40B4-BE49-F238E27FC236}">
                    <a16:creationId xmlns:a16="http://schemas.microsoft.com/office/drawing/2014/main" id="{7C9C131D-C23F-2758-5840-D16D9D91B475}"/>
                  </a:ext>
                </a:extLst>
              </xdr:cNvPr>
              <xdr:cNvSpPr/>
            </xdr:nvSpPr>
            <xdr:spPr>
              <a:xfrm>
                <a:off x="1803360" y="3495864"/>
                <a:ext cx="3091221" cy="932854"/>
              </a:xfrm>
              <a:prstGeom prst="rect">
                <a:avLst/>
              </a:prstGeom>
              <a:solidFill>
                <a:srgbClr val="000000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14" name="TextBox 413">
              <a:extLst>
                <a:ext uri="{FF2B5EF4-FFF2-40B4-BE49-F238E27FC236}">
                  <a16:creationId xmlns:a16="http://schemas.microsoft.com/office/drawing/2014/main" id="{E5C366F3-B9D8-8713-11CA-DE5AF237463B}"/>
                </a:ext>
              </a:extLst>
            </xdr:cNvPr>
            <xdr:cNvSpPr txBox="1"/>
          </xdr:nvSpPr>
          <xdr:spPr>
            <a:xfrm rot="16200000">
              <a:off x="1191571" y="5500989"/>
              <a:ext cx="619500" cy="1449666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clip" horzOverflow="clip" vert="horz" wrap="square" lIns="50800" tIns="50800" rIns="50800" bIns="50800" numCol="1" spcCol="38100" rtlCol="0" anchor="t">
              <a:spAutoFit/>
            </a:bodyPr>
            <a:lstStyle/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I</a:t>
              </a:r>
            </a:p>
          </xdr:txBody>
        </xdr:sp>
      </xdr:grpSp>
      <xdr:grpSp>
        <xdr:nvGrpSpPr>
          <xdr:cNvPr id="352" name="Group 351">
            <a:extLst>
              <a:ext uri="{FF2B5EF4-FFF2-40B4-BE49-F238E27FC236}">
                <a16:creationId xmlns:a16="http://schemas.microsoft.com/office/drawing/2014/main" id="{CE026F37-B9E0-BE46-CBE6-23EE0226E605}"/>
              </a:ext>
            </a:extLst>
          </xdr:cNvPr>
          <xdr:cNvGrpSpPr/>
        </xdr:nvGrpSpPr>
        <xdr:grpSpPr>
          <a:xfrm>
            <a:off x="10419235" y="4495269"/>
            <a:ext cx="2047070" cy="1604019"/>
            <a:chOff x="7415704" y="5252355"/>
            <a:chExt cx="3184873" cy="3056534"/>
          </a:xfrm>
        </xdr:grpSpPr>
        <xdr:grpSp>
          <xdr:nvGrpSpPr>
            <xdr:cNvPr id="409" name="Group 408">
              <a:extLst>
                <a:ext uri="{FF2B5EF4-FFF2-40B4-BE49-F238E27FC236}">
                  <a16:creationId xmlns:a16="http://schemas.microsoft.com/office/drawing/2014/main" id="{8816F841-2744-656A-CB8B-B1AF59552DAA}"/>
                </a:ext>
              </a:extLst>
            </xdr:cNvPr>
            <xdr:cNvGrpSpPr/>
          </xdr:nvGrpSpPr>
          <xdr:grpSpPr>
            <a:xfrm>
              <a:off x="7415704" y="5252355"/>
              <a:ext cx="3184873" cy="3056534"/>
              <a:chOff x="5969000" y="3563312"/>
              <a:chExt cx="3056466" cy="955052"/>
            </a:xfrm>
          </xdr:grpSpPr>
          <xdr:pic>
            <xdr:nvPicPr>
              <xdr:cNvPr id="411" name="Picture 410">
                <a:extLst>
                  <a:ext uri="{FF2B5EF4-FFF2-40B4-BE49-F238E27FC236}">
                    <a16:creationId xmlns:a16="http://schemas.microsoft.com/office/drawing/2014/main" id="{EDDEF1A8-0946-B4AA-5E71-D01D6BE400E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5969000" y="3564467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412" name="Rectangle 411">
                <a:extLst>
                  <a:ext uri="{FF2B5EF4-FFF2-40B4-BE49-F238E27FC236}">
                    <a16:creationId xmlns:a16="http://schemas.microsoft.com/office/drawing/2014/main" id="{2576A34D-6114-5CE3-67AC-C0E00D77A839}"/>
                  </a:ext>
                </a:extLst>
              </xdr:cNvPr>
              <xdr:cNvSpPr/>
            </xdr:nvSpPr>
            <xdr:spPr>
              <a:xfrm>
                <a:off x="5982239" y="3563312"/>
                <a:ext cx="3038286" cy="926876"/>
              </a:xfrm>
              <a:prstGeom prst="rect">
                <a:avLst/>
              </a:prstGeom>
              <a:solidFill>
                <a:schemeClr val="accent1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10" name="Rectangle 409">
              <a:extLst>
                <a:ext uri="{FF2B5EF4-FFF2-40B4-BE49-F238E27FC236}">
                  <a16:creationId xmlns:a16="http://schemas.microsoft.com/office/drawing/2014/main" id="{FFDDCDB8-7860-316D-A499-DA72DF64551C}"/>
                </a:ext>
              </a:extLst>
            </xdr:cNvPr>
            <xdr:cNvSpPr/>
          </xdr:nvSpPr>
          <xdr:spPr>
            <a:xfrm rot="16200000">
              <a:off x="8075766" y="5979402"/>
              <a:ext cx="1755468" cy="1004271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7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J</a:t>
              </a:r>
            </a:p>
          </xdr:txBody>
        </xdr:sp>
      </xdr:grpSp>
      <xdr:grpSp>
        <xdr:nvGrpSpPr>
          <xdr:cNvPr id="353" name="Group 352">
            <a:extLst>
              <a:ext uri="{FF2B5EF4-FFF2-40B4-BE49-F238E27FC236}">
                <a16:creationId xmlns:a16="http://schemas.microsoft.com/office/drawing/2014/main" id="{329AE638-1D5B-472B-0595-CAA031E58126}"/>
              </a:ext>
            </a:extLst>
          </xdr:cNvPr>
          <xdr:cNvGrpSpPr/>
        </xdr:nvGrpSpPr>
        <xdr:grpSpPr>
          <a:xfrm rot="5400000">
            <a:off x="9626308" y="6023055"/>
            <a:ext cx="1020663" cy="1963306"/>
            <a:chOff x="4236358" y="10468429"/>
            <a:chExt cx="2450052" cy="2540000"/>
          </a:xfrm>
        </xdr:grpSpPr>
        <xdr:grpSp>
          <xdr:nvGrpSpPr>
            <xdr:cNvPr id="405" name="Group 404">
              <a:extLst>
                <a:ext uri="{FF2B5EF4-FFF2-40B4-BE49-F238E27FC236}">
                  <a16:creationId xmlns:a16="http://schemas.microsoft.com/office/drawing/2014/main" id="{138D9DD5-8149-9B9E-CFBE-32E56FE3B85C}"/>
                </a:ext>
              </a:extLst>
            </xdr:cNvPr>
            <xdr:cNvGrpSpPr/>
          </xdr:nvGrpSpPr>
          <xdr:grpSpPr>
            <a:xfrm>
              <a:off x="4236358" y="10468429"/>
              <a:ext cx="2450052" cy="2540000"/>
              <a:chOff x="5969000" y="3564467"/>
              <a:chExt cx="3056466" cy="953897"/>
            </a:xfrm>
          </xdr:grpSpPr>
          <xdr:pic>
            <xdr:nvPicPr>
              <xdr:cNvPr id="407" name="Picture 406">
                <a:extLst>
                  <a:ext uri="{FF2B5EF4-FFF2-40B4-BE49-F238E27FC236}">
                    <a16:creationId xmlns:a16="http://schemas.microsoft.com/office/drawing/2014/main" id="{8E997EF3-E3DA-9575-798B-D09A4573725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5969000" y="3564467"/>
                <a:ext cx="3056466" cy="953897"/>
              </a:xfrm>
              <a:prstGeom prst="rect">
                <a:avLst/>
              </a:prstGeom>
            </xdr:spPr>
          </xdr:pic>
          <xdr:sp macro="" textlink="">
            <xdr:nvSpPr>
              <xdr:cNvPr id="408" name="Rectangle 407">
                <a:extLst>
                  <a:ext uri="{FF2B5EF4-FFF2-40B4-BE49-F238E27FC236}">
                    <a16:creationId xmlns:a16="http://schemas.microsoft.com/office/drawing/2014/main" id="{66319015-634A-784D-A1CA-C3AB858DF586}"/>
                  </a:ext>
                </a:extLst>
              </xdr:cNvPr>
              <xdr:cNvSpPr/>
            </xdr:nvSpPr>
            <xdr:spPr>
              <a:xfrm>
                <a:off x="5980316" y="3564467"/>
                <a:ext cx="3044193" cy="926643"/>
              </a:xfrm>
              <a:prstGeom prst="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06" name="Rectangle 405">
              <a:extLst>
                <a:ext uri="{FF2B5EF4-FFF2-40B4-BE49-F238E27FC236}">
                  <a16:creationId xmlns:a16="http://schemas.microsoft.com/office/drawing/2014/main" id="{A2F2D4F3-0F05-7B08-0313-AC80EF3BDEE3}"/>
                </a:ext>
              </a:extLst>
            </xdr:cNvPr>
            <xdr:cNvSpPr/>
          </xdr:nvSpPr>
          <xdr:spPr>
            <a:xfrm rot="10800000">
              <a:off x="4952998" y="11146427"/>
              <a:ext cx="952499" cy="948146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5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H</a:t>
              </a:r>
            </a:p>
          </xdr:txBody>
        </xdr:sp>
      </xdr:grpSp>
      <xdr:grpSp>
        <xdr:nvGrpSpPr>
          <xdr:cNvPr id="354" name="Group 353">
            <a:extLst>
              <a:ext uri="{FF2B5EF4-FFF2-40B4-BE49-F238E27FC236}">
                <a16:creationId xmlns:a16="http://schemas.microsoft.com/office/drawing/2014/main" id="{E2024FFE-8068-52B3-4695-61025F1CCAED}"/>
              </a:ext>
            </a:extLst>
          </xdr:cNvPr>
          <xdr:cNvGrpSpPr/>
        </xdr:nvGrpSpPr>
        <xdr:grpSpPr>
          <a:xfrm>
            <a:off x="9488713" y="7523614"/>
            <a:ext cx="1628861" cy="900057"/>
            <a:chOff x="414384" y="10664222"/>
            <a:chExt cx="2616365" cy="2538697"/>
          </a:xfrm>
        </xdr:grpSpPr>
        <xdr:grpSp>
          <xdr:nvGrpSpPr>
            <xdr:cNvPr id="401" name="Group 400">
              <a:extLst>
                <a:ext uri="{FF2B5EF4-FFF2-40B4-BE49-F238E27FC236}">
                  <a16:creationId xmlns:a16="http://schemas.microsoft.com/office/drawing/2014/main" id="{A3CC9D2C-DF40-1086-759A-D0F9BC3BAE35}"/>
                </a:ext>
              </a:extLst>
            </xdr:cNvPr>
            <xdr:cNvGrpSpPr/>
          </xdr:nvGrpSpPr>
          <xdr:grpSpPr>
            <a:xfrm>
              <a:off x="414384" y="10664222"/>
              <a:ext cx="2616365" cy="2538697"/>
              <a:chOff x="279697" y="1629743"/>
              <a:chExt cx="1648539" cy="820118"/>
            </a:xfrm>
          </xdr:grpSpPr>
          <xdr:pic>
            <xdr:nvPicPr>
              <xdr:cNvPr id="403" name="Picture 402">
                <a:extLst>
                  <a:ext uri="{FF2B5EF4-FFF2-40B4-BE49-F238E27FC236}">
                    <a16:creationId xmlns:a16="http://schemas.microsoft.com/office/drawing/2014/main" id="{AE9AF536-416E-4D31-1C8B-03A003DC6EA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79697" y="16297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404" name="Rectangle 403">
                <a:extLst>
                  <a:ext uri="{FF2B5EF4-FFF2-40B4-BE49-F238E27FC236}">
                    <a16:creationId xmlns:a16="http://schemas.microsoft.com/office/drawing/2014/main" id="{5B755079-298D-3046-F933-0783BCED5153}"/>
                  </a:ext>
                </a:extLst>
              </xdr:cNvPr>
              <xdr:cNvSpPr/>
            </xdr:nvSpPr>
            <xdr:spPr>
              <a:xfrm>
                <a:off x="291292" y="1633012"/>
                <a:ext cx="1623386" cy="790019"/>
              </a:xfrm>
              <a:prstGeom prst="rect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02" name="Rectangle 401">
              <a:extLst>
                <a:ext uri="{FF2B5EF4-FFF2-40B4-BE49-F238E27FC236}">
                  <a16:creationId xmlns:a16="http://schemas.microsoft.com/office/drawing/2014/main" id="{36719BA7-F454-98F2-F97D-ECC13D4F4FAC}"/>
                </a:ext>
              </a:extLst>
            </xdr:cNvPr>
            <xdr:cNvSpPr/>
          </xdr:nvSpPr>
          <xdr:spPr>
            <a:xfrm rot="16200000">
              <a:off x="830648" y="11387561"/>
              <a:ext cx="1789837" cy="657470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L</a:t>
              </a:r>
            </a:p>
          </xdr:txBody>
        </xdr:sp>
      </xdr:grpSp>
      <xdr:grpSp>
        <xdr:nvGrpSpPr>
          <xdr:cNvPr id="355" name="Group 354">
            <a:extLst>
              <a:ext uri="{FF2B5EF4-FFF2-40B4-BE49-F238E27FC236}">
                <a16:creationId xmlns:a16="http://schemas.microsoft.com/office/drawing/2014/main" id="{B947DD50-0FC0-87E4-9A3C-57210A14664B}"/>
              </a:ext>
            </a:extLst>
          </xdr:cNvPr>
          <xdr:cNvGrpSpPr/>
        </xdr:nvGrpSpPr>
        <xdr:grpSpPr>
          <a:xfrm>
            <a:off x="11135984" y="8122644"/>
            <a:ext cx="2064457" cy="1303072"/>
            <a:chOff x="2558143" y="14769568"/>
            <a:chExt cx="2603500" cy="3264432"/>
          </a:xfrm>
        </xdr:grpSpPr>
        <xdr:grpSp>
          <xdr:nvGrpSpPr>
            <xdr:cNvPr id="397" name="Group 396">
              <a:extLst>
                <a:ext uri="{FF2B5EF4-FFF2-40B4-BE49-F238E27FC236}">
                  <a16:creationId xmlns:a16="http://schemas.microsoft.com/office/drawing/2014/main" id="{DE14C050-4CE4-E150-DF7A-F770E68FF1F8}"/>
                </a:ext>
              </a:extLst>
            </xdr:cNvPr>
            <xdr:cNvGrpSpPr/>
          </xdr:nvGrpSpPr>
          <xdr:grpSpPr>
            <a:xfrm>
              <a:off x="2558143" y="14769568"/>
              <a:ext cx="2603500" cy="3264432"/>
              <a:chOff x="278210" y="2746443"/>
              <a:chExt cx="1666959" cy="820118"/>
            </a:xfrm>
          </xdr:grpSpPr>
          <xdr:pic>
            <xdr:nvPicPr>
              <xdr:cNvPr id="399" name="Picture 398">
                <a:extLst>
                  <a:ext uri="{FF2B5EF4-FFF2-40B4-BE49-F238E27FC236}">
                    <a16:creationId xmlns:a16="http://schemas.microsoft.com/office/drawing/2014/main" id="{BC9F2BFB-1659-FF92-0462-FF2524AB20F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96630" y="27464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400" name="Rectangle 399">
                <a:extLst>
                  <a:ext uri="{FF2B5EF4-FFF2-40B4-BE49-F238E27FC236}">
                    <a16:creationId xmlns:a16="http://schemas.microsoft.com/office/drawing/2014/main" id="{DD89C396-22D7-67A1-AE63-F44A62C24E8B}"/>
                  </a:ext>
                </a:extLst>
              </xdr:cNvPr>
              <xdr:cNvSpPr/>
            </xdr:nvSpPr>
            <xdr:spPr>
              <a:xfrm>
                <a:off x="278210" y="2748400"/>
                <a:ext cx="1661150" cy="804487"/>
              </a:xfrm>
              <a:prstGeom prst="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98" name="Rectangle 397">
              <a:extLst>
                <a:ext uri="{FF2B5EF4-FFF2-40B4-BE49-F238E27FC236}">
                  <a16:creationId xmlns:a16="http://schemas.microsoft.com/office/drawing/2014/main" id="{6B4DBD17-FC02-7394-4F2A-A8B58BCCA329}"/>
                </a:ext>
              </a:extLst>
            </xdr:cNvPr>
            <xdr:cNvSpPr/>
          </xdr:nvSpPr>
          <xdr:spPr>
            <a:xfrm rot="16200000">
              <a:off x="2976101" y="15972978"/>
              <a:ext cx="1531728" cy="429975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M</a:t>
              </a:r>
            </a:p>
          </xdr:txBody>
        </xdr:sp>
      </xdr:grpSp>
      <xdr:grpSp>
        <xdr:nvGrpSpPr>
          <xdr:cNvPr id="356" name="Group 355">
            <a:extLst>
              <a:ext uri="{FF2B5EF4-FFF2-40B4-BE49-F238E27FC236}">
                <a16:creationId xmlns:a16="http://schemas.microsoft.com/office/drawing/2014/main" id="{9048314C-EABA-F713-05FC-1365848D0985}"/>
              </a:ext>
            </a:extLst>
          </xdr:cNvPr>
          <xdr:cNvGrpSpPr/>
        </xdr:nvGrpSpPr>
        <xdr:grpSpPr>
          <a:xfrm>
            <a:off x="9401935" y="3928477"/>
            <a:ext cx="1068405" cy="1250186"/>
            <a:chOff x="3613420" y="1115787"/>
            <a:chExt cx="1956428" cy="2485569"/>
          </a:xfrm>
        </xdr:grpSpPr>
        <xdr:grpSp>
          <xdr:nvGrpSpPr>
            <xdr:cNvPr id="393" name="Group 392">
              <a:extLst>
                <a:ext uri="{FF2B5EF4-FFF2-40B4-BE49-F238E27FC236}">
                  <a16:creationId xmlns:a16="http://schemas.microsoft.com/office/drawing/2014/main" id="{3DFB4520-FF6C-F7E9-9960-5053F3563957}"/>
                </a:ext>
              </a:extLst>
            </xdr:cNvPr>
            <xdr:cNvGrpSpPr/>
          </xdr:nvGrpSpPr>
          <xdr:grpSpPr>
            <a:xfrm>
              <a:off x="3613420" y="1115787"/>
              <a:ext cx="1956428" cy="2485569"/>
              <a:chOff x="6169895" y="1900224"/>
              <a:chExt cx="1340038" cy="1308641"/>
            </a:xfrm>
          </xdr:grpSpPr>
          <xdr:pic>
            <xdr:nvPicPr>
              <xdr:cNvPr id="395" name="Picture 394">
                <a:extLst>
                  <a:ext uri="{FF2B5EF4-FFF2-40B4-BE49-F238E27FC236}">
                    <a16:creationId xmlns:a16="http://schemas.microsoft.com/office/drawing/2014/main" id="{559560ED-1E2F-B080-6677-3E043D27F92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06067" y="1904999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396" name="Rectangle 395">
                <a:extLst>
                  <a:ext uri="{FF2B5EF4-FFF2-40B4-BE49-F238E27FC236}">
                    <a16:creationId xmlns:a16="http://schemas.microsoft.com/office/drawing/2014/main" id="{3250DB4D-D1F3-F7B3-97FA-040A7CA596FE}"/>
                  </a:ext>
                </a:extLst>
              </xdr:cNvPr>
              <xdr:cNvSpPr/>
            </xdr:nvSpPr>
            <xdr:spPr>
              <a:xfrm>
                <a:off x="6169895" y="1900224"/>
                <a:ext cx="1304812" cy="1294313"/>
              </a:xfrm>
              <a:prstGeom prst="rect">
                <a:avLst/>
              </a:prstGeom>
              <a:solidFill>
                <a:schemeClr val="bg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94" name="Rectangle 393">
              <a:extLst>
                <a:ext uri="{FF2B5EF4-FFF2-40B4-BE49-F238E27FC236}">
                  <a16:creationId xmlns:a16="http://schemas.microsoft.com/office/drawing/2014/main" id="{F4D27EA4-5385-EC76-1E5B-339684900B11}"/>
                </a:ext>
              </a:extLst>
            </xdr:cNvPr>
            <xdr:cNvSpPr/>
          </xdr:nvSpPr>
          <xdr:spPr>
            <a:xfrm rot="16200000">
              <a:off x="4134747" y="1971367"/>
              <a:ext cx="965218" cy="729059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D</a:t>
              </a:r>
            </a:p>
          </xdr:txBody>
        </xdr:sp>
      </xdr:grpSp>
      <xdr:grpSp>
        <xdr:nvGrpSpPr>
          <xdr:cNvPr id="357" name="Group 356">
            <a:extLst>
              <a:ext uri="{FF2B5EF4-FFF2-40B4-BE49-F238E27FC236}">
                <a16:creationId xmlns:a16="http://schemas.microsoft.com/office/drawing/2014/main" id="{77017C01-E131-1D5F-AA7A-B583CD1630C2}"/>
              </a:ext>
            </a:extLst>
          </xdr:cNvPr>
          <xdr:cNvGrpSpPr/>
        </xdr:nvGrpSpPr>
        <xdr:grpSpPr>
          <a:xfrm rot="16200000">
            <a:off x="10630910" y="6985709"/>
            <a:ext cx="1645710" cy="648274"/>
            <a:chOff x="12690315" y="11131003"/>
            <a:chExt cx="2052208" cy="2359298"/>
          </a:xfrm>
        </xdr:grpSpPr>
        <xdr:grpSp>
          <xdr:nvGrpSpPr>
            <xdr:cNvPr id="389" name="Group 388">
              <a:extLst>
                <a:ext uri="{FF2B5EF4-FFF2-40B4-BE49-F238E27FC236}">
                  <a16:creationId xmlns:a16="http://schemas.microsoft.com/office/drawing/2014/main" id="{197D85BB-351D-3F84-EA9B-AA21C1946B2B}"/>
                </a:ext>
              </a:extLst>
            </xdr:cNvPr>
            <xdr:cNvGrpSpPr/>
          </xdr:nvGrpSpPr>
          <xdr:grpSpPr>
            <a:xfrm>
              <a:off x="12690315" y="11131003"/>
              <a:ext cx="2052208" cy="2359298"/>
              <a:chOff x="4697150" y="4663166"/>
              <a:chExt cx="1949975" cy="1266768"/>
            </a:xfrm>
          </xdr:grpSpPr>
          <xdr:pic>
            <xdr:nvPicPr>
              <xdr:cNvPr id="391" name="Picture 390">
                <a:extLst>
                  <a:ext uri="{FF2B5EF4-FFF2-40B4-BE49-F238E27FC236}">
                    <a16:creationId xmlns:a16="http://schemas.microsoft.com/office/drawing/2014/main" id="{CA20C1E2-ECDF-E293-DFC6-1CE597C1B5A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4697150" y="4664124"/>
                <a:ext cx="1932472" cy="1265810"/>
              </a:xfrm>
              <a:prstGeom prst="rect">
                <a:avLst/>
              </a:prstGeom>
            </xdr:spPr>
          </xdr:pic>
          <xdr:sp macro="" textlink="">
            <xdr:nvSpPr>
              <xdr:cNvPr id="392" name="Rectangle 391">
                <a:extLst>
                  <a:ext uri="{FF2B5EF4-FFF2-40B4-BE49-F238E27FC236}">
                    <a16:creationId xmlns:a16="http://schemas.microsoft.com/office/drawing/2014/main" id="{D64C7505-E2B6-2C90-A1FE-074E73AAB637}"/>
                  </a:ext>
                </a:extLst>
              </xdr:cNvPr>
              <xdr:cNvSpPr/>
            </xdr:nvSpPr>
            <xdr:spPr>
              <a:xfrm>
                <a:off x="4704394" y="4663166"/>
                <a:ext cx="1942731" cy="1256872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90" name="Rectangle 389">
              <a:extLst>
                <a:ext uri="{FF2B5EF4-FFF2-40B4-BE49-F238E27FC236}">
                  <a16:creationId xmlns:a16="http://schemas.microsoft.com/office/drawing/2014/main" id="{1E856106-E946-5B4F-D3C2-38BE6F5F6F17}"/>
                </a:ext>
              </a:extLst>
            </xdr:cNvPr>
            <xdr:cNvSpPr/>
          </xdr:nvSpPr>
          <xdr:spPr>
            <a:xfrm>
              <a:off x="13302707" y="11895558"/>
              <a:ext cx="980077" cy="866483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F</a:t>
              </a:r>
            </a:p>
          </xdr:txBody>
        </xdr:sp>
      </xdr:grpSp>
      <xdr:grpSp>
        <xdr:nvGrpSpPr>
          <xdr:cNvPr id="358" name="Group 357">
            <a:extLst>
              <a:ext uri="{FF2B5EF4-FFF2-40B4-BE49-F238E27FC236}">
                <a16:creationId xmlns:a16="http://schemas.microsoft.com/office/drawing/2014/main" id="{871F44E0-68EF-62DE-CB1C-861050991646}"/>
              </a:ext>
            </a:extLst>
          </xdr:cNvPr>
          <xdr:cNvGrpSpPr/>
        </xdr:nvGrpSpPr>
        <xdr:grpSpPr>
          <a:xfrm>
            <a:off x="7526753" y="3922986"/>
            <a:ext cx="1067835" cy="840489"/>
            <a:chOff x="7403600" y="19633475"/>
            <a:chExt cx="1431609" cy="2135415"/>
          </a:xfrm>
        </xdr:grpSpPr>
        <xdr:grpSp>
          <xdr:nvGrpSpPr>
            <xdr:cNvPr id="385" name="Group 384">
              <a:extLst>
                <a:ext uri="{FF2B5EF4-FFF2-40B4-BE49-F238E27FC236}">
                  <a16:creationId xmlns:a16="http://schemas.microsoft.com/office/drawing/2014/main" id="{981BA25E-9E8E-4C3F-6193-D91BEE9B33B0}"/>
                </a:ext>
              </a:extLst>
            </xdr:cNvPr>
            <xdr:cNvGrpSpPr/>
          </xdr:nvGrpSpPr>
          <xdr:grpSpPr>
            <a:xfrm>
              <a:off x="7403600" y="19633475"/>
              <a:ext cx="1431609" cy="2135415"/>
              <a:chOff x="6206067" y="1900075"/>
              <a:chExt cx="1303867" cy="1308790"/>
            </a:xfrm>
          </xdr:grpSpPr>
          <xdr:pic>
            <xdr:nvPicPr>
              <xdr:cNvPr id="387" name="Picture 386">
                <a:extLst>
                  <a:ext uri="{FF2B5EF4-FFF2-40B4-BE49-F238E27FC236}">
                    <a16:creationId xmlns:a16="http://schemas.microsoft.com/office/drawing/2014/main" id="{8295F826-6EC6-2394-9AD6-FCA06DAF24A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06067" y="1904999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388" name="Rectangle 387">
                <a:extLst>
                  <a:ext uri="{FF2B5EF4-FFF2-40B4-BE49-F238E27FC236}">
                    <a16:creationId xmlns:a16="http://schemas.microsoft.com/office/drawing/2014/main" id="{08DEDC6E-0463-3A5D-1057-5E9CB23E4520}"/>
                  </a:ext>
                </a:extLst>
              </xdr:cNvPr>
              <xdr:cNvSpPr/>
            </xdr:nvSpPr>
            <xdr:spPr>
              <a:xfrm>
                <a:off x="6206868" y="1900075"/>
                <a:ext cx="1303066" cy="1291865"/>
              </a:xfrm>
              <a:prstGeom prst="rect">
                <a:avLst/>
              </a:prstGeom>
              <a:solidFill>
                <a:schemeClr val="accent4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86" name="Rectangle 385">
              <a:extLst>
                <a:ext uri="{FF2B5EF4-FFF2-40B4-BE49-F238E27FC236}">
                  <a16:creationId xmlns:a16="http://schemas.microsoft.com/office/drawing/2014/main" id="{E7591589-54BD-C85B-81D7-FF3640A33629}"/>
                </a:ext>
              </a:extLst>
            </xdr:cNvPr>
            <xdr:cNvSpPr/>
          </xdr:nvSpPr>
          <xdr:spPr>
            <a:xfrm rot="16200000">
              <a:off x="7482574" y="20578348"/>
              <a:ext cx="1347100" cy="424201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B</a:t>
              </a:r>
            </a:p>
          </xdr:txBody>
        </xdr:sp>
      </xdr:grpSp>
      <xdr:grpSp>
        <xdr:nvGrpSpPr>
          <xdr:cNvPr id="359" name="Group 358">
            <a:extLst>
              <a:ext uri="{FF2B5EF4-FFF2-40B4-BE49-F238E27FC236}">
                <a16:creationId xmlns:a16="http://schemas.microsoft.com/office/drawing/2014/main" id="{1032AB98-38F4-42E2-FD28-B3D321BF6AA1}"/>
              </a:ext>
            </a:extLst>
          </xdr:cNvPr>
          <xdr:cNvGrpSpPr/>
        </xdr:nvGrpSpPr>
        <xdr:grpSpPr>
          <a:xfrm>
            <a:off x="8596149" y="3921453"/>
            <a:ext cx="810298" cy="438888"/>
            <a:chOff x="486956" y="1089253"/>
            <a:chExt cx="1152433" cy="1263876"/>
          </a:xfrm>
        </xdr:grpSpPr>
        <xdr:grpSp>
          <xdr:nvGrpSpPr>
            <xdr:cNvPr id="381" name="Group 380">
              <a:extLst>
                <a:ext uri="{FF2B5EF4-FFF2-40B4-BE49-F238E27FC236}">
                  <a16:creationId xmlns:a16="http://schemas.microsoft.com/office/drawing/2014/main" id="{9506F2A5-F8AE-74C8-8600-5568DA3ED722}"/>
                </a:ext>
              </a:extLst>
            </xdr:cNvPr>
            <xdr:cNvGrpSpPr/>
          </xdr:nvGrpSpPr>
          <xdr:grpSpPr>
            <a:xfrm>
              <a:off x="486956" y="1091837"/>
              <a:ext cx="1152433" cy="1261292"/>
              <a:chOff x="3253006" y="1912346"/>
              <a:chExt cx="1335928" cy="1313453"/>
            </a:xfrm>
            <a:solidFill>
              <a:schemeClr val="accent2">
                <a:lumMod val="75000"/>
              </a:schemeClr>
            </a:solidFill>
          </xdr:grpSpPr>
          <xdr:pic>
            <xdr:nvPicPr>
              <xdr:cNvPr id="383" name="Picture 382">
                <a:extLst>
                  <a:ext uri="{FF2B5EF4-FFF2-40B4-BE49-F238E27FC236}">
                    <a16:creationId xmlns:a16="http://schemas.microsoft.com/office/drawing/2014/main" id="{FA5A61D3-B278-E0EF-0A45-DCBAFCCA90E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285067" y="1921933"/>
                <a:ext cx="1303866" cy="1303866"/>
              </a:xfrm>
              <a:prstGeom prst="rect">
                <a:avLst/>
              </a:prstGeom>
              <a:grpFill/>
            </xdr:spPr>
          </xdr:pic>
          <xdr:sp macro="" textlink="">
            <xdr:nvSpPr>
              <xdr:cNvPr id="384" name="Rectangle 383">
                <a:extLst>
                  <a:ext uri="{FF2B5EF4-FFF2-40B4-BE49-F238E27FC236}">
                    <a16:creationId xmlns:a16="http://schemas.microsoft.com/office/drawing/2014/main" id="{AB3E8DB4-6DD6-4470-580F-0929959B40F7}"/>
                  </a:ext>
                </a:extLst>
              </xdr:cNvPr>
              <xdr:cNvSpPr/>
            </xdr:nvSpPr>
            <xdr:spPr>
              <a:xfrm>
                <a:off x="3253006" y="1912346"/>
                <a:ext cx="1335928" cy="1284690"/>
              </a:xfrm>
              <a:prstGeom prst="rect">
                <a:avLst/>
              </a:prstGeom>
              <a:grpFill/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82" name="Rectangle 381">
              <a:extLst>
                <a:ext uri="{FF2B5EF4-FFF2-40B4-BE49-F238E27FC236}">
                  <a16:creationId xmlns:a16="http://schemas.microsoft.com/office/drawing/2014/main" id="{6E26890B-E0E2-1919-4359-029FFEF8E435}"/>
                </a:ext>
              </a:extLst>
            </xdr:cNvPr>
            <xdr:cNvSpPr/>
          </xdr:nvSpPr>
          <xdr:spPr>
            <a:xfrm rot="16200000">
              <a:off x="464593" y="1503565"/>
              <a:ext cx="1163776" cy="335151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C</a:t>
              </a:r>
            </a:p>
          </xdr:txBody>
        </xdr:sp>
      </xdr:grpSp>
      <xdr:grpSp>
        <xdr:nvGrpSpPr>
          <xdr:cNvPr id="360" name="Group 359">
            <a:extLst>
              <a:ext uri="{FF2B5EF4-FFF2-40B4-BE49-F238E27FC236}">
                <a16:creationId xmlns:a16="http://schemas.microsoft.com/office/drawing/2014/main" id="{B2023C8D-11C1-0BCA-78EA-2B0F41A6A70A}"/>
              </a:ext>
            </a:extLst>
          </xdr:cNvPr>
          <xdr:cNvGrpSpPr/>
        </xdr:nvGrpSpPr>
        <xdr:grpSpPr>
          <a:xfrm>
            <a:off x="11771266" y="6084378"/>
            <a:ext cx="1279017" cy="846269"/>
            <a:chOff x="9052922" y="10123712"/>
            <a:chExt cx="2123440" cy="2153557"/>
          </a:xfrm>
        </xdr:grpSpPr>
        <xdr:grpSp>
          <xdr:nvGrpSpPr>
            <xdr:cNvPr id="377" name="Group 376">
              <a:extLst>
                <a:ext uri="{FF2B5EF4-FFF2-40B4-BE49-F238E27FC236}">
                  <a16:creationId xmlns:a16="http://schemas.microsoft.com/office/drawing/2014/main" id="{18907429-5B4F-8175-A422-274654A6C2A1}"/>
                </a:ext>
              </a:extLst>
            </xdr:cNvPr>
            <xdr:cNvGrpSpPr/>
          </xdr:nvGrpSpPr>
          <xdr:grpSpPr>
            <a:xfrm>
              <a:off x="9052922" y="10123712"/>
              <a:ext cx="2123440" cy="2153557"/>
              <a:chOff x="2166446" y="4637853"/>
              <a:chExt cx="1951819" cy="1297469"/>
            </a:xfrm>
          </xdr:grpSpPr>
          <xdr:pic>
            <xdr:nvPicPr>
              <xdr:cNvPr id="379" name="Picture 378">
                <a:extLst>
                  <a:ext uri="{FF2B5EF4-FFF2-40B4-BE49-F238E27FC236}">
                    <a16:creationId xmlns:a16="http://schemas.microsoft.com/office/drawing/2014/main" id="{20B15B3C-8A37-569D-9E5B-EC73D0B459B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2183009" y="4669512"/>
                <a:ext cx="1935256" cy="1265810"/>
              </a:xfrm>
              <a:prstGeom prst="rect">
                <a:avLst/>
              </a:prstGeom>
            </xdr:spPr>
          </xdr:pic>
          <xdr:sp macro="" textlink="">
            <xdr:nvSpPr>
              <xdr:cNvPr id="380" name="Rectangle 379">
                <a:extLst>
                  <a:ext uri="{FF2B5EF4-FFF2-40B4-BE49-F238E27FC236}">
                    <a16:creationId xmlns:a16="http://schemas.microsoft.com/office/drawing/2014/main" id="{6B9FA572-023E-AA0F-B0C0-27FC1F047EDF}"/>
                  </a:ext>
                </a:extLst>
              </xdr:cNvPr>
              <xdr:cNvSpPr/>
            </xdr:nvSpPr>
            <xdr:spPr>
              <a:xfrm>
                <a:off x="2166446" y="4637853"/>
                <a:ext cx="1943332" cy="1291924"/>
              </a:xfrm>
              <a:prstGeom prst="rect">
                <a:avLst/>
              </a:prstGeom>
              <a:solidFill>
                <a:schemeClr val="accent6">
                  <a:lumMod val="20000"/>
                  <a:lumOff val="8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78" name="Rectangle 377">
              <a:extLst>
                <a:ext uri="{FF2B5EF4-FFF2-40B4-BE49-F238E27FC236}">
                  <a16:creationId xmlns:a16="http://schemas.microsoft.com/office/drawing/2014/main" id="{9B96C69D-DABE-32F3-784C-B24C269CA540}"/>
                </a:ext>
              </a:extLst>
            </xdr:cNvPr>
            <xdr:cNvSpPr/>
          </xdr:nvSpPr>
          <xdr:spPr>
            <a:xfrm rot="16200000">
              <a:off x="9250330" y="10643569"/>
              <a:ext cx="1753665" cy="1060009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E</a:t>
              </a:r>
            </a:p>
          </xdr:txBody>
        </xdr:sp>
      </xdr:grpSp>
      <xdr:grpSp>
        <xdr:nvGrpSpPr>
          <xdr:cNvPr id="361" name="Group 360">
            <a:extLst>
              <a:ext uri="{FF2B5EF4-FFF2-40B4-BE49-F238E27FC236}">
                <a16:creationId xmlns:a16="http://schemas.microsoft.com/office/drawing/2014/main" id="{CD7262EF-56E3-037D-D781-91FD9E048743}"/>
              </a:ext>
            </a:extLst>
          </xdr:cNvPr>
          <xdr:cNvGrpSpPr/>
        </xdr:nvGrpSpPr>
        <xdr:grpSpPr>
          <a:xfrm>
            <a:off x="10459647" y="6016460"/>
            <a:ext cx="1308001" cy="479268"/>
            <a:chOff x="9071066" y="14493853"/>
            <a:chExt cx="1330960" cy="1400860"/>
          </a:xfrm>
        </xdr:grpSpPr>
        <xdr:grpSp>
          <xdr:nvGrpSpPr>
            <xdr:cNvPr id="373" name="Group 372">
              <a:extLst>
                <a:ext uri="{FF2B5EF4-FFF2-40B4-BE49-F238E27FC236}">
                  <a16:creationId xmlns:a16="http://schemas.microsoft.com/office/drawing/2014/main" id="{0768D6D5-12F7-AC63-99E8-862E72E8CD12}"/>
                </a:ext>
              </a:extLst>
            </xdr:cNvPr>
            <xdr:cNvGrpSpPr/>
          </xdr:nvGrpSpPr>
          <xdr:grpSpPr>
            <a:xfrm>
              <a:off x="9071066" y="14609355"/>
              <a:ext cx="1330960" cy="1258388"/>
              <a:chOff x="4656034" y="4721593"/>
              <a:chExt cx="1973588" cy="1275182"/>
            </a:xfrm>
          </xdr:grpSpPr>
          <xdr:pic>
            <xdr:nvPicPr>
              <xdr:cNvPr id="375" name="Picture 374">
                <a:extLst>
                  <a:ext uri="{FF2B5EF4-FFF2-40B4-BE49-F238E27FC236}">
                    <a16:creationId xmlns:a16="http://schemas.microsoft.com/office/drawing/2014/main" id="{C7E2EFFA-84B8-9709-9050-C8551595064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4697150" y="4730964"/>
                <a:ext cx="1932472" cy="1265810"/>
              </a:xfrm>
              <a:prstGeom prst="rect">
                <a:avLst/>
              </a:prstGeom>
            </xdr:spPr>
          </xdr:pic>
          <xdr:sp macro="" textlink="">
            <xdr:nvSpPr>
              <xdr:cNvPr id="376" name="Rectangle 375">
                <a:extLst>
                  <a:ext uri="{FF2B5EF4-FFF2-40B4-BE49-F238E27FC236}">
                    <a16:creationId xmlns:a16="http://schemas.microsoft.com/office/drawing/2014/main" id="{56A6C906-CB03-E26E-B2C6-887148550841}"/>
                  </a:ext>
                </a:extLst>
              </xdr:cNvPr>
              <xdr:cNvSpPr/>
            </xdr:nvSpPr>
            <xdr:spPr>
              <a:xfrm>
                <a:off x="4656034" y="4721593"/>
                <a:ext cx="1973588" cy="1275182"/>
              </a:xfrm>
              <a:prstGeom prst="rect">
                <a:avLst/>
              </a:prstGeom>
              <a:solidFill>
                <a:schemeClr val="accent3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74" name="Rectangle 373">
              <a:extLst>
                <a:ext uri="{FF2B5EF4-FFF2-40B4-BE49-F238E27FC236}">
                  <a16:creationId xmlns:a16="http://schemas.microsoft.com/office/drawing/2014/main" id="{3E230E3E-1DB9-CB37-E8BC-E24F89A800E0}"/>
                </a:ext>
              </a:extLst>
            </xdr:cNvPr>
            <xdr:cNvSpPr/>
          </xdr:nvSpPr>
          <xdr:spPr>
            <a:xfrm rot="16362205">
              <a:off x="9043010" y="15067404"/>
              <a:ext cx="1400860" cy="25375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G</a:t>
              </a:r>
            </a:p>
          </xdr:txBody>
        </xdr:sp>
      </xdr:grpSp>
      <xdr:grpSp>
        <xdr:nvGrpSpPr>
          <xdr:cNvPr id="362" name="Group 361">
            <a:extLst>
              <a:ext uri="{FF2B5EF4-FFF2-40B4-BE49-F238E27FC236}">
                <a16:creationId xmlns:a16="http://schemas.microsoft.com/office/drawing/2014/main" id="{067EFA96-6FCC-20CA-202A-6A440A73EFF0}"/>
              </a:ext>
            </a:extLst>
          </xdr:cNvPr>
          <xdr:cNvGrpSpPr/>
        </xdr:nvGrpSpPr>
        <xdr:grpSpPr>
          <a:xfrm>
            <a:off x="9884303" y="8411295"/>
            <a:ext cx="1234598" cy="438215"/>
            <a:chOff x="1341121" y="18600490"/>
            <a:chExt cx="1087120" cy="1203283"/>
          </a:xfrm>
        </xdr:grpSpPr>
        <xdr:grpSp>
          <xdr:nvGrpSpPr>
            <xdr:cNvPr id="369" name="Group 368">
              <a:extLst>
                <a:ext uri="{FF2B5EF4-FFF2-40B4-BE49-F238E27FC236}">
                  <a16:creationId xmlns:a16="http://schemas.microsoft.com/office/drawing/2014/main" id="{281ECDBD-EEF4-3CE6-1C04-F6480C7FCB6C}"/>
                </a:ext>
              </a:extLst>
            </xdr:cNvPr>
            <xdr:cNvGrpSpPr/>
          </xdr:nvGrpSpPr>
          <xdr:grpSpPr>
            <a:xfrm>
              <a:off x="1341121" y="18600490"/>
              <a:ext cx="1087120" cy="1201349"/>
              <a:chOff x="288607" y="2746443"/>
              <a:chExt cx="1672192" cy="820118"/>
            </a:xfrm>
          </xdr:grpSpPr>
          <xdr:pic>
            <xdr:nvPicPr>
              <xdr:cNvPr id="371" name="Picture 370">
                <a:extLst>
                  <a:ext uri="{FF2B5EF4-FFF2-40B4-BE49-F238E27FC236}">
                    <a16:creationId xmlns:a16="http://schemas.microsoft.com/office/drawing/2014/main" id="{AB43133B-9FE2-6058-C0CF-2372B73CA05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296630" y="2746443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372" name="Rectangle 371">
                <a:extLst>
                  <a:ext uri="{FF2B5EF4-FFF2-40B4-BE49-F238E27FC236}">
                    <a16:creationId xmlns:a16="http://schemas.microsoft.com/office/drawing/2014/main" id="{F592DA0C-147E-E5AA-4DAB-DE1D56379ADC}"/>
                  </a:ext>
                </a:extLst>
              </xdr:cNvPr>
              <xdr:cNvSpPr/>
            </xdr:nvSpPr>
            <xdr:spPr>
              <a:xfrm>
                <a:off x="288607" y="2748129"/>
                <a:ext cx="1672192" cy="797625"/>
              </a:xfrm>
              <a:prstGeom prst="rect">
                <a:avLst/>
              </a:prstGeom>
              <a:solidFill>
                <a:schemeClr val="accent6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70" name="Rectangle 369">
              <a:extLst>
                <a:ext uri="{FF2B5EF4-FFF2-40B4-BE49-F238E27FC236}">
                  <a16:creationId xmlns:a16="http://schemas.microsoft.com/office/drawing/2014/main" id="{CA7A180F-1042-E317-B749-41560A6FE27C}"/>
                </a:ext>
              </a:extLst>
            </xdr:cNvPr>
            <xdr:cNvSpPr/>
          </xdr:nvSpPr>
          <xdr:spPr>
            <a:xfrm rot="16200000">
              <a:off x="1288390" y="19120848"/>
              <a:ext cx="1172259" cy="193592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K</a:t>
              </a:r>
            </a:p>
          </xdr:txBody>
        </xdr:sp>
      </xdr:grpSp>
      <xdr:grpSp>
        <xdr:nvGrpSpPr>
          <xdr:cNvPr id="363" name="Group 362">
            <a:extLst>
              <a:ext uri="{FF2B5EF4-FFF2-40B4-BE49-F238E27FC236}">
                <a16:creationId xmlns:a16="http://schemas.microsoft.com/office/drawing/2014/main" id="{EE1F5860-1EFE-E764-6068-366B060AD1F7}"/>
              </a:ext>
            </a:extLst>
          </xdr:cNvPr>
          <xdr:cNvGrpSpPr/>
        </xdr:nvGrpSpPr>
        <xdr:grpSpPr>
          <a:xfrm>
            <a:off x="8594837" y="4357372"/>
            <a:ext cx="821598" cy="413067"/>
            <a:chOff x="3647441" y="19785639"/>
            <a:chExt cx="1168400" cy="1265881"/>
          </a:xfrm>
        </xdr:grpSpPr>
        <xdr:grpSp>
          <xdr:nvGrpSpPr>
            <xdr:cNvPr id="365" name="Group 364">
              <a:extLst>
                <a:ext uri="{FF2B5EF4-FFF2-40B4-BE49-F238E27FC236}">
                  <a16:creationId xmlns:a16="http://schemas.microsoft.com/office/drawing/2014/main" id="{B08E0661-18B8-5B44-D150-A9C510BCDD47}"/>
                </a:ext>
              </a:extLst>
            </xdr:cNvPr>
            <xdr:cNvGrpSpPr/>
          </xdr:nvGrpSpPr>
          <xdr:grpSpPr>
            <a:xfrm>
              <a:off x="3647441" y="19785639"/>
              <a:ext cx="1168400" cy="1265881"/>
              <a:chOff x="3262466" y="1921933"/>
              <a:chExt cx="1326467" cy="1303866"/>
            </a:xfrm>
          </xdr:grpSpPr>
          <xdr:pic>
            <xdr:nvPicPr>
              <xdr:cNvPr id="367" name="Picture 366">
                <a:extLst>
                  <a:ext uri="{FF2B5EF4-FFF2-40B4-BE49-F238E27FC236}">
                    <a16:creationId xmlns:a16="http://schemas.microsoft.com/office/drawing/2014/main" id="{DEEE18D2-353A-F146-2ED3-2E95EE3D876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285067" y="1921933"/>
                <a:ext cx="1303866" cy="1303866"/>
              </a:xfrm>
              <a:prstGeom prst="rect">
                <a:avLst/>
              </a:prstGeom>
            </xdr:spPr>
          </xdr:pic>
          <xdr:sp macro="" textlink="">
            <xdr:nvSpPr>
              <xdr:cNvPr id="368" name="Rectangle 367">
                <a:extLst>
                  <a:ext uri="{FF2B5EF4-FFF2-40B4-BE49-F238E27FC236}">
                    <a16:creationId xmlns:a16="http://schemas.microsoft.com/office/drawing/2014/main" id="{6E69154D-5ED8-E73B-B242-C45600BE2BD5}"/>
                  </a:ext>
                </a:extLst>
              </xdr:cNvPr>
              <xdr:cNvSpPr/>
            </xdr:nvSpPr>
            <xdr:spPr>
              <a:xfrm>
                <a:off x="3262466" y="1928155"/>
                <a:ext cx="1326465" cy="1297644"/>
              </a:xfrm>
              <a:prstGeom prst="rect">
                <a:avLst/>
              </a:prstGeom>
              <a:solidFill>
                <a:schemeClr val="bg1">
                  <a:lumMod val="6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66" name="Rectangle 365">
              <a:extLst>
                <a:ext uri="{FF2B5EF4-FFF2-40B4-BE49-F238E27FC236}">
                  <a16:creationId xmlns:a16="http://schemas.microsoft.com/office/drawing/2014/main" id="{8F0E17FD-2080-951F-7134-E473C0062467}"/>
                </a:ext>
              </a:extLst>
            </xdr:cNvPr>
            <xdr:cNvSpPr/>
          </xdr:nvSpPr>
          <xdr:spPr>
            <a:xfrm rot="16200000">
              <a:off x="3622532" y="20237238"/>
              <a:ext cx="1116617" cy="338249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A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5"/>
  <sheetViews>
    <sheetView showGridLines="0" zoomScale="150" workbookViewId="0">
      <selection activeCell="G17" sqref="G17"/>
    </sheetView>
  </sheetViews>
  <sheetFormatPr baseColWidth="10" defaultColWidth="8.33203125" defaultRowHeight="20" customHeight="1" x14ac:dyDescent="0.15"/>
  <cols>
    <col min="1" max="1" width="2.6640625" style="1" bestFit="1" customWidth="1"/>
    <col min="2" max="14" width="6.1640625" style="1" bestFit="1" customWidth="1"/>
    <col min="15" max="15" width="19.33203125" style="1" customWidth="1"/>
    <col min="16" max="16384" width="8.33203125" style="1"/>
  </cols>
  <sheetData>
    <row r="1" spans="1:21" ht="27.75" customHeight="1" x14ac:dyDescent="0.15">
      <c r="A1" s="80" t="s">
        <v>30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21" ht="20.25" customHeight="1" x14ac:dyDescent="0.1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</row>
    <row r="3" spans="1:21" s="7" customFormat="1" ht="20.25" customHeight="1" x14ac:dyDescent="0.15">
      <c r="A3" s="4" t="s">
        <v>0</v>
      </c>
      <c r="B3" s="5"/>
      <c r="C3" s="6">
        <v>34230.769230769198</v>
      </c>
      <c r="D3" s="6">
        <v>11153.8461538462</v>
      </c>
      <c r="E3" s="6"/>
      <c r="F3" s="6"/>
      <c r="G3" s="6"/>
      <c r="H3" s="6"/>
      <c r="I3" s="6"/>
      <c r="J3" s="6"/>
      <c r="K3" s="6"/>
      <c r="L3" s="6"/>
      <c r="M3" s="6"/>
      <c r="N3" s="6"/>
      <c r="O3" s="11" t="s">
        <v>18</v>
      </c>
      <c r="S3" s="7">
        <f>SUM(B3:N15)</f>
        <v>754999.99999999977</v>
      </c>
    </row>
    <row r="4" spans="1:21" s="7" customFormat="1" ht="20" customHeight="1" x14ac:dyDescent="0.15">
      <c r="A4" s="8" t="s">
        <v>1</v>
      </c>
      <c r="B4" s="9">
        <v>20961.538461538501</v>
      </c>
      <c r="C4" s="10"/>
      <c r="D4" s="10">
        <v>31923.0769230769</v>
      </c>
      <c r="E4" s="10">
        <v>15384.615384615399</v>
      </c>
      <c r="F4" s="10"/>
      <c r="G4" s="10"/>
      <c r="H4" s="10"/>
      <c r="I4" s="10"/>
      <c r="J4" s="10"/>
      <c r="K4" s="10"/>
      <c r="L4" s="10"/>
      <c r="M4" s="10"/>
      <c r="N4" s="10"/>
      <c r="T4" s="11" t="s">
        <v>19</v>
      </c>
      <c r="U4" s="11" t="s">
        <v>20</v>
      </c>
    </row>
    <row r="5" spans="1:21" s="7" customFormat="1" ht="20" customHeight="1" x14ac:dyDescent="0.15">
      <c r="A5" s="8" t="s">
        <v>2</v>
      </c>
      <c r="B5" s="9"/>
      <c r="C5" s="10"/>
      <c r="D5" s="10"/>
      <c r="E5" s="10">
        <v>56923.0769230769</v>
      </c>
      <c r="F5" s="10"/>
      <c r="G5" s="10"/>
      <c r="H5" s="10"/>
      <c r="I5" s="10"/>
      <c r="J5" s="10">
        <v>6153.8461538461497</v>
      </c>
      <c r="K5" s="10"/>
      <c r="L5" s="10"/>
      <c r="M5" s="10"/>
      <c r="N5" s="10"/>
      <c r="O5" s="14" t="s">
        <v>14</v>
      </c>
      <c r="P5" s="14"/>
      <c r="Q5" s="12" t="s">
        <v>13</v>
      </c>
      <c r="R5" s="12"/>
      <c r="S5" s="12">
        <f>K11</f>
        <v>80384.615384615405</v>
      </c>
      <c r="T5" s="13">
        <f>S5/$S$3</f>
        <v>0.10646968925114626</v>
      </c>
      <c r="U5" s="13">
        <f>T5</f>
        <v>0.10646968925114626</v>
      </c>
    </row>
    <row r="6" spans="1:21" s="7" customFormat="1" ht="20" customHeight="1" x14ac:dyDescent="0.15">
      <c r="A6" s="8" t="s">
        <v>3</v>
      </c>
      <c r="B6" s="9"/>
      <c r="C6" s="10"/>
      <c r="D6" s="10">
        <v>6153.8461538461497</v>
      </c>
      <c r="E6" s="10"/>
      <c r="F6" s="10"/>
      <c r="G6" s="10"/>
      <c r="H6" s="10">
        <v>9230.7692307692305</v>
      </c>
      <c r="I6" s="10">
        <v>15192.307692307701</v>
      </c>
      <c r="J6" s="10">
        <v>41730.769230769198</v>
      </c>
      <c r="K6" s="10"/>
      <c r="L6" s="10"/>
      <c r="M6" s="10"/>
      <c r="N6" s="10"/>
      <c r="O6" s="14" t="s">
        <v>15</v>
      </c>
      <c r="P6" s="14"/>
      <c r="Q6" s="12" t="s">
        <v>16</v>
      </c>
      <c r="R6" s="12"/>
      <c r="S6" s="12">
        <f>E5</f>
        <v>56923.0769230769</v>
      </c>
      <c r="T6" s="13">
        <f t="shared" ref="T6:T9" si="0">S6/$S$3</f>
        <v>7.539480387162506E-2</v>
      </c>
      <c r="U6" s="13">
        <f>T6+U5</f>
        <v>0.18186449312277131</v>
      </c>
    </row>
    <row r="7" spans="1:21" s="7" customFormat="1" ht="20" customHeight="1" x14ac:dyDescent="0.15">
      <c r="A7" s="8" t="s">
        <v>4</v>
      </c>
      <c r="B7" s="9"/>
      <c r="C7" s="10"/>
      <c r="D7" s="10"/>
      <c r="E7" s="10"/>
      <c r="F7" s="10"/>
      <c r="G7" s="10">
        <v>41538.461538461503</v>
      </c>
      <c r="H7" s="10">
        <v>37307.692307692298</v>
      </c>
      <c r="I7" s="10">
        <v>4615.3846153846198</v>
      </c>
      <c r="J7" s="10"/>
      <c r="K7" s="10"/>
      <c r="L7" s="10"/>
      <c r="M7" s="10"/>
      <c r="N7" s="10"/>
      <c r="O7" s="14" t="s">
        <v>17</v>
      </c>
      <c r="P7" s="14"/>
      <c r="Q7" s="12" t="s">
        <v>16</v>
      </c>
      <c r="R7" s="12"/>
      <c r="S7" s="12">
        <f>N14+G7+J6</f>
        <v>128269.23076923069</v>
      </c>
      <c r="T7" s="13">
        <f t="shared" si="0"/>
        <v>0.16989302088639832</v>
      </c>
      <c r="U7" s="13">
        <f>T7+U6</f>
        <v>0.35175751400916966</v>
      </c>
    </row>
    <row r="8" spans="1:21" s="7" customFormat="1" ht="20" customHeight="1" x14ac:dyDescent="0.15">
      <c r="A8" s="8" t="s">
        <v>5</v>
      </c>
      <c r="B8" s="9"/>
      <c r="C8" s="10"/>
      <c r="D8" s="10">
        <v>13846.1538461538</v>
      </c>
      <c r="E8" s="10"/>
      <c r="F8" s="10"/>
      <c r="G8" s="10"/>
      <c r="H8" s="10">
        <v>36923.0769230769</v>
      </c>
      <c r="I8" s="10">
        <v>14230.7692307692</v>
      </c>
      <c r="J8" s="10">
        <v>14615.384615384601</v>
      </c>
      <c r="K8" s="10"/>
      <c r="L8" s="10"/>
      <c r="M8" s="10"/>
      <c r="N8" s="10"/>
      <c r="O8" s="14" t="s">
        <v>21</v>
      </c>
      <c r="P8" s="14"/>
      <c r="Q8" s="12" t="s">
        <v>16</v>
      </c>
      <c r="R8" s="12"/>
      <c r="S8" s="12">
        <f>C3+D4+H7+H8+I9</f>
        <v>172692.3076923076</v>
      </c>
      <c r="T8" s="13">
        <f t="shared" si="0"/>
        <v>0.2287315333672949</v>
      </c>
      <c r="U8" s="13">
        <f>T8+U7</f>
        <v>0.58048904737646456</v>
      </c>
    </row>
    <row r="9" spans="1:21" s="7" customFormat="1" ht="20" customHeight="1" x14ac:dyDescent="0.15">
      <c r="A9" s="8" t="s">
        <v>6</v>
      </c>
      <c r="B9" s="9"/>
      <c r="C9" s="10"/>
      <c r="D9" s="10"/>
      <c r="E9" s="10"/>
      <c r="F9" s="10">
        <v>16923.0769230769</v>
      </c>
      <c r="G9" s="10">
        <v>17307.692307692301</v>
      </c>
      <c r="H9" s="10"/>
      <c r="I9" s="10">
        <v>32307.692307692301</v>
      </c>
      <c r="J9" s="10">
        <v>16923.0769230769</v>
      </c>
      <c r="K9" s="10"/>
      <c r="L9" s="10"/>
      <c r="M9" s="10"/>
      <c r="N9" s="10"/>
      <c r="O9" s="11" t="s">
        <v>22</v>
      </c>
      <c r="Q9" s="11" t="s">
        <v>16</v>
      </c>
      <c r="S9" s="12">
        <f>M15+L14+N13+J10+B4</f>
        <v>115384.6153846154</v>
      </c>
      <c r="T9" s="13">
        <f t="shared" si="0"/>
        <v>0.15282730514518603</v>
      </c>
      <c r="U9" s="13">
        <f>T9+U8</f>
        <v>0.73331635252165062</v>
      </c>
    </row>
    <row r="10" spans="1:21" s="7" customFormat="1" ht="20" customHeight="1" x14ac:dyDescent="0.15">
      <c r="A10" s="8" t="s">
        <v>7</v>
      </c>
      <c r="B10" s="9"/>
      <c r="C10" s="10"/>
      <c r="D10" s="10"/>
      <c r="E10" s="10"/>
      <c r="F10" s="10"/>
      <c r="G10" s="10"/>
      <c r="H10" s="10"/>
      <c r="I10" s="10"/>
      <c r="J10" s="10">
        <v>20961.538461538501</v>
      </c>
      <c r="K10" s="10">
        <v>18076.9230769231</v>
      </c>
      <c r="L10" s="10"/>
      <c r="M10" s="10"/>
      <c r="N10" s="10"/>
      <c r="O10" s="11" t="s">
        <v>42</v>
      </c>
      <c r="U10" s="11" t="s">
        <v>43</v>
      </c>
    </row>
    <row r="11" spans="1:21" s="7" customFormat="1" ht="20" customHeight="1" x14ac:dyDescent="0.15">
      <c r="A11" s="8" t="s">
        <v>8</v>
      </c>
      <c r="B11" s="9"/>
      <c r="C11" s="10"/>
      <c r="D11" s="10"/>
      <c r="E11" s="10"/>
      <c r="F11" s="10"/>
      <c r="G11" s="10"/>
      <c r="H11" s="10"/>
      <c r="I11" s="10"/>
      <c r="J11" s="10"/>
      <c r="K11" s="10">
        <v>80384.615384615405</v>
      </c>
      <c r="L11" s="10"/>
      <c r="M11" s="10"/>
      <c r="N11" s="10"/>
    </row>
    <row r="12" spans="1:21" s="7" customFormat="1" ht="20" customHeight="1" x14ac:dyDescent="0.15">
      <c r="A12" s="8" t="s">
        <v>9</v>
      </c>
      <c r="B12" s="9"/>
      <c r="C12" s="10"/>
      <c r="D12" s="10"/>
      <c r="E12" s="10"/>
      <c r="F12" s="10"/>
      <c r="G12" s="10"/>
      <c r="H12" s="10"/>
      <c r="I12" s="10"/>
      <c r="J12" s="10">
        <v>4615.3846153846198</v>
      </c>
      <c r="K12" s="10"/>
      <c r="L12" s="10"/>
      <c r="M12" s="10"/>
      <c r="N12" s="10"/>
    </row>
    <row r="13" spans="1:21" s="7" customFormat="1" ht="20" customHeight="1" x14ac:dyDescent="0.15">
      <c r="A13" s="8" t="s">
        <v>10</v>
      </c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>
        <v>16923.0769230769</v>
      </c>
      <c r="N13" s="10">
        <v>26730.769230769201</v>
      </c>
    </row>
    <row r="14" spans="1:21" s="7" customFormat="1" ht="20" customHeight="1" x14ac:dyDescent="0.15">
      <c r="A14" s="8" t="s">
        <v>11</v>
      </c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>
        <v>26730.769230769201</v>
      </c>
      <c r="M14" s="10"/>
      <c r="N14" s="10">
        <v>45000</v>
      </c>
    </row>
    <row r="15" spans="1:21" s="7" customFormat="1" ht="20" customHeight="1" x14ac:dyDescent="0.15">
      <c r="A15" s="8" t="s">
        <v>12</v>
      </c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>
        <v>20000</v>
      </c>
      <c r="N15" s="10"/>
    </row>
  </sheetData>
  <mergeCells count="1">
    <mergeCell ref="A1:N1"/>
  </mergeCells>
  <conditionalFormatting sqref="B3:N15">
    <cfRule type="colorScale" priority="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7120-89FD-FB42-9721-277682F4C6EA}">
  <dimension ref="C3:R24"/>
  <sheetViews>
    <sheetView zoomScale="150" workbookViewId="0">
      <selection activeCell="R8" sqref="R8:R20"/>
    </sheetView>
  </sheetViews>
  <sheetFormatPr baseColWidth="10" defaultRowHeight="13" x14ac:dyDescent="0.15"/>
  <cols>
    <col min="15" max="16" width="11.6640625" bestFit="1" customWidth="1"/>
  </cols>
  <sheetData>
    <row r="3" spans="3:18" ht="28" x14ac:dyDescent="0.15">
      <c r="C3" s="23" t="s">
        <v>31</v>
      </c>
      <c r="N3" s="38" t="s">
        <v>70</v>
      </c>
      <c r="O3" s="81" t="s">
        <v>72</v>
      </c>
      <c r="P3" s="81"/>
    </row>
    <row r="6" spans="3:18" ht="14" x14ac:dyDescent="0.15">
      <c r="K6" s="23" t="s">
        <v>71</v>
      </c>
    </row>
    <row r="7" spans="3:18" ht="42" x14ac:dyDescent="0.15">
      <c r="C7" s="24" t="s">
        <v>23</v>
      </c>
      <c r="D7" s="24" t="s">
        <v>24</v>
      </c>
      <c r="E7" s="24" t="s">
        <v>25</v>
      </c>
      <c r="F7" s="24" t="s">
        <v>26</v>
      </c>
      <c r="G7" s="24" t="s">
        <v>27</v>
      </c>
      <c r="H7" s="24" t="s">
        <v>28</v>
      </c>
      <c r="I7" s="24" t="s">
        <v>29</v>
      </c>
      <c r="J7" s="24"/>
      <c r="K7" s="24" t="s">
        <v>11</v>
      </c>
      <c r="L7" s="24" t="s">
        <v>41</v>
      </c>
      <c r="M7" s="29" t="s">
        <v>35</v>
      </c>
      <c r="N7" s="29" t="s">
        <v>36</v>
      </c>
      <c r="O7" s="24" t="s">
        <v>40</v>
      </c>
      <c r="P7" s="24" t="s">
        <v>41</v>
      </c>
    </row>
    <row r="8" spans="3:18" ht="14" x14ac:dyDescent="0.15">
      <c r="C8" s="24" t="s">
        <v>12</v>
      </c>
      <c r="D8" s="25">
        <v>231634.62</v>
      </c>
      <c r="E8" s="25">
        <v>57908.65</v>
      </c>
      <c r="F8" s="25">
        <v>14</v>
      </c>
      <c r="G8" s="25">
        <v>56</v>
      </c>
      <c r="H8" s="25">
        <v>0.97699999999999998</v>
      </c>
      <c r="I8" s="25">
        <v>4233.6000000000004</v>
      </c>
      <c r="J8" s="25" t="s">
        <v>34</v>
      </c>
      <c r="K8" s="25">
        <v>14</v>
      </c>
      <c r="L8" s="25">
        <v>7</v>
      </c>
      <c r="M8" s="30">
        <f>14*7</f>
        <v>98</v>
      </c>
      <c r="N8" s="25">
        <f>M8*F8</f>
        <v>1372</v>
      </c>
      <c r="O8">
        <f>L8*7</f>
        <v>49</v>
      </c>
      <c r="P8" s="26">
        <f>N8/O8</f>
        <v>28</v>
      </c>
      <c r="Q8" t="str">
        <f>C8</f>
        <v>M</v>
      </c>
      <c r="R8" s="24" t="s">
        <v>12</v>
      </c>
    </row>
    <row r="9" spans="3:18" ht="14" x14ac:dyDescent="0.15">
      <c r="C9" s="24" t="s">
        <v>9</v>
      </c>
      <c r="D9" s="25">
        <v>230625</v>
      </c>
      <c r="E9" s="25">
        <v>57656.25</v>
      </c>
      <c r="F9" s="25">
        <v>14</v>
      </c>
      <c r="G9" s="25">
        <v>56</v>
      </c>
      <c r="H9" s="25">
        <v>0.9728</v>
      </c>
      <c r="I9" s="25">
        <v>4233.6000000000004</v>
      </c>
      <c r="J9" s="25" t="s">
        <v>39</v>
      </c>
      <c r="K9" s="25">
        <v>24</v>
      </c>
      <c r="L9" s="25">
        <v>5</v>
      </c>
      <c r="M9" s="30">
        <f>5*24</f>
        <v>120</v>
      </c>
      <c r="N9" s="25">
        <f t="shared" ref="N9:N20" si="0">M9*F9</f>
        <v>1680</v>
      </c>
      <c r="O9">
        <f>K9*2</f>
        <v>48</v>
      </c>
      <c r="P9" s="26">
        <f t="shared" ref="P9:P20" si="1">N9/O9</f>
        <v>35</v>
      </c>
      <c r="Q9" t="str">
        <f t="shared" ref="Q9:Q20" si="2">C9</f>
        <v>J</v>
      </c>
      <c r="R9" s="24" t="s">
        <v>9</v>
      </c>
    </row>
    <row r="10" spans="3:18" ht="14" x14ac:dyDescent="0.15">
      <c r="C10" s="24" t="s">
        <v>3</v>
      </c>
      <c r="D10" s="25">
        <v>211250</v>
      </c>
      <c r="E10" s="25">
        <v>52812.5</v>
      </c>
      <c r="F10" s="25">
        <v>13</v>
      </c>
      <c r="G10" s="25">
        <v>52</v>
      </c>
      <c r="H10" s="25">
        <v>0.95960000000000001</v>
      </c>
      <c r="I10" s="25">
        <v>4233.6000000000004</v>
      </c>
      <c r="J10" s="25" t="s">
        <v>38</v>
      </c>
      <c r="K10" s="25">
        <v>8</v>
      </c>
      <c r="L10" s="25">
        <v>7</v>
      </c>
      <c r="M10" s="30">
        <f>7*8</f>
        <v>56</v>
      </c>
      <c r="N10" s="25">
        <f t="shared" si="0"/>
        <v>728</v>
      </c>
      <c r="O10">
        <f>K10*3</f>
        <v>24</v>
      </c>
      <c r="P10" s="26">
        <f t="shared" si="1"/>
        <v>30.333333333333332</v>
      </c>
      <c r="Q10" t="str">
        <f t="shared" si="2"/>
        <v>D</v>
      </c>
      <c r="R10" s="24" t="s">
        <v>3</v>
      </c>
    </row>
    <row r="11" spans="3:18" ht="14" x14ac:dyDescent="0.15">
      <c r="C11" s="24" t="s">
        <v>1</v>
      </c>
      <c r="D11" s="25">
        <v>149471.15</v>
      </c>
      <c r="E11" s="25">
        <v>37367.79</v>
      </c>
      <c r="F11" s="25">
        <v>9</v>
      </c>
      <c r="G11" s="25">
        <v>36</v>
      </c>
      <c r="H11" s="25">
        <v>0.98070000000000002</v>
      </c>
      <c r="I11" s="25">
        <v>4233.6000000000004</v>
      </c>
      <c r="J11" s="25" t="s">
        <v>38</v>
      </c>
      <c r="K11" s="25">
        <v>8</v>
      </c>
      <c r="L11" s="25">
        <v>7</v>
      </c>
      <c r="M11" s="30">
        <f>7*8</f>
        <v>56</v>
      </c>
      <c r="N11" s="25">
        <f t="shared" si="0"/>
        <v>504</v>
      </c>
      <c r="O11">
        <f>K11*3</f>
        <v>24</v>
      </c>
      <c r="P11" s="26">
        <f t="shared" si="1"/>
        <v>21</v>
      </c>
      <c r="Q11" t="str">
        <f t="shared" si="2"/>
        <v>B</v>
      </c>
      <c r="R11" s="24" t="s">
        <v>1</v>
      </c>
    </row>
    <row r="12" spans="3:18" ht="14" x14ac:dyDescent="0.15">
      <c r="C12" s="24" t="s">
        <v>11</v>
      </c>
      <c r="D12" s="25">
        <v>144519.23000000001</v>
      </c>
      <c r="E12" s="25">
        <v>36129.81</v>
      </c>
      <c r="F12" s="25">
        <v>9</v>
      </c>
      <c r="G12" s="25">
        <v>36</v>
      </c>
      <c r="H12" s="25">
        <v>0.94820000000000004</v>
      </c>
      <c r="I12" s="25">
        <v>4233.6000000000004</v>
      </c>
      <c r="J12" s="25" t="s">
        <v>34</v>
      </c>
      <c r="K12" s="25">
        <v>14</v>
      </c>
      <c r="L12" s="25">
        <v>7</v>
      </c>
      <c r="M12" s="30">
        <f>14*7</f>
        <v>98</v>
      </c>
      <c r="N12" s="25">
        <f t="shared" si="0"/>
        <v>882</v>
      </c>
      <c r="O12">
        <f>K12*3</f>
        <v>42</v>
      </c>
      <c r="P12" s="26">
        <f>N12/O12</f>
        <v>21</v>
      </c>
      <c r="Q12" t="str">
        <f t="shared" si="2"/>
        <v>L</v>
      </c>
      <c r="R12" s="24" t="s">
        <v>11</v>
      </c>
    </row>
    <row r="13" spans="3:18" ht="14" x14ac:dyDescent="0.15">
      <c r="C13" s="24" t="s">
        <v>7</v>
      </c>
      <c r="D13" s="25">
        <v>142980.76999999999</v>
      </c>
      <c r="E13" s="25">
        <v>35745.19</v>
      </c>
      <c r="F13" s="25">
        <v>9</v>
      </c>
      <c r="G13" s="25">
        <v>36</v>
      </c>
      <c r="H13" s="25">
        <v>0.93810000000000004</v>
      </c>
      <c r="I13" s="25">
        <v>4233.6000000000004</v>
      </c>
      <c r="J13" s="25" t="s">
        <v>39</v>
      </c>
      <c r="K13" s="25">
        <v>24</v>
      </c>
      <c r="L13" s="25">
        <v>5</v>
      </c>
      <c r="M13" s="30">
        <f>5*24</f>
        <v>120</v>
      </c>
      <c r="N13" s="25">
        <f t="shared" si="0"/>
        <v>1080</v>
      </c>
      <c r="O13">
        <f>K13*1</f>
        <v>24</v>
      </c>
      <c r="P13" s="26">
        <f t="shared" si="1"/>
        <v>45</v>
      </c>
      <c r="Q13" t="str">
        <f t="shared" si="2"/>
        <v>H</v>
      </c>
      <c r="R13" s="24" t="s">
        <v>7</v>
      </c>
    </row>
    <row r="14" spans="3:18" ht="14" x14ac:dyDescent="0.15">
      <c r="C14" s="24" t="s">
        <v>8</v>
      </c>
      <c r="D14" s="25">
        <v>131057.69</v>
      </c>
      <c r="E14" s="25">
        <v>32764.42</v>
      </c>
      <c r="F14" s="25">
        <v>8</v>
      </c>
      <c r="G14" s="25">
        <v>32</v>
      </c>
      <c r="H14" s="25">
        <v>0.96740000000000004</v>
      </c>
      <c r="I14" s="25">
        <v>4233.6000000000004</v>
      </c>
      <c r="J14" s="25" t="s">
        <v>39</v>
      </c>
      <c r="K14" s="25">
        <v>34</v>
      </c>
      <c r="L14" s="25">
        <v>5</v>
      </c>
      <c r="M14" s="30">
        <f>5*24</f>
        <v>120</v>
      </c>
      <c r="N14" s="25">
        <f t="shared" si="0"/>
        <v>960</v>
      </c>
      <c r="O14">
        <f>K14*1</f>
        <v>34</v>
      </c>
      <c r="P14" s="26">
        <f t="shared" si="1"/>
        <v>28.235294117647058</v>
      </c>
      <c r="Q14" t="str">
        <f t="shared" si="2"/>
        <v>I</v>
      </c>
      <c r="R14" s="24" t="s">
        <v>8</v>
      </c>
    </row>
    <row r="15" spans="3:18" ht="14" x14ac:dyDescent="0.15">
      <c r="C15" s="24" t="s">
        <v>5</v>
      </c>
      <c r="D15" s="25">
        <v>110480.77</v>
      </c>
      <c r="E15" s="25">
        <v>27620.19</v>
      </c>
      <c r="F15" s="25">
        <v>7</v>
      </c>
      <c r="G15" s="25">
        <v>28</v>
      </c>
      <c r="H15" s="25">
        <v>0.93200000000000005</v>
      </c>
      <c r="I15" s="25">
        <v>4233.6000000000004</v>
      </c>
      <c r="J15" s="25" t="s">
        <v>37</v>
      </c>
      <c r="K15" s="25">
        <v>14</v>
      </c>
      <c r="L15" s="25">
        <v>7</v>
      </c>
      <c r="M15" s="30">
        <f>6*16</f>
        <v>96</v>
      </c>
      <c r="N15" s="25">
        <f t="shared" si="0"/>
        <v>672</v>
      </c>
      <c r="O15">
        <f>K15*3</f>
        <v>42</v>
      </c>
      <c r="P15" s="26">
        <f>N15/O15</f>
        <v>16</v>
      </c>
      <c r="Q15" t="str">
        <f t="shared" si="2"/>
        <v>F</v>
      </c>
      <c r="R15" s="24" t="s">
        <v>5</v>
      </c>
    </row>
    <row r="16" spans="3:18" ht="14" x14ac:dyDescent="0.15">
      <c r="C16" s="24" t="s">
        <v>4</v>
      </c>
      <c r="D16" s="25">
        <v>93846.15</v>
      </c>
      <c r="E16" s="25">
        <v>23461.54</v>
      </c>
      <c r="F16" s="25">
        <v>6</v>
      </c>
      <c r="G16" s="25">
        <v>24</v>
      </c>
      <c r="H16" s="25">
        <v>0.92359999999999998</v>
      </c>
      <c r="I16" s="25">
        <v>4233.6000000000004</v>
      </c>
      <c r="J16" s="25" t="s">
        <v>37</v>
      </c>
      <c r="K16" s="25">
        <v>14</v>
      </c>
      <c r="L16" s="25">
        <v>7</v>
      </c>
      <c r="M16" s="30">
        <f>6*16</f>
        <v>96</v>
      </c>
      <c r="N16" s="25">
        <f t="shared" si="0"/>
        <v>576</v>
      </c>
      <c r="O16">
        <f>K16*2</f>
        <v>28</v>
      </c>
      <c r="P16" s="26">
        <f>N16/O16</f>
        <v>20.571428571428573</v>
      </c>
      <c r="Q16" t="str">
        <f t="shared" si="2"/>
        <v>E</v>
      </c>
      <c r="R16" s="24" t="s">
        <v>4</v>
      </c>
    </row>
    <row r="17" spans="3:18" ht="14" x14ac:dyDescent="0.15">
      <c r="C17" s="24" t="s">
        <v>0</v>
      </c>
      <c r="D17" s="25">
        <v>47163.46</v>
      </c>
      <c r="E17" s="25">
        <v>11790.87</v>
      </c>
      <c r="F17" s="25">
        <v>3</v>
      </c>
      <c r="G17" s="25">
        <v>12</v>
      </c>
      <c r="H17" s="25">
        <v>0.9284</v>
      </c>
      <c r="I17" s="25">
        <v>4233.6000000000004</v>
      </c>
      <c r="J17" s="25" t="s">
        <v>38</v>
      </c>
      <c r="K17" s="25">
        <v>8</v>
      </c>
      <c r="L17" s="25">
        <v>7</v>
      </c>
      <c r="M17" s="30">
        <f>7*8</f>
        <v>56</v>
      </c>
      <c r="N17" s="25">
        <f t="shared" si="0"/>
        <v>168</v>
      </c>
      <c r="O17">
        <f>K17*2</f>
        <v>16</v>
      </c>
      <c r="P17" s="26">
        <f t="shared" si="1"/>
        <v>10.5</v>
      </c>
      <c r="Q17" t="str">
        <f t="shared" si="2"/>
        <v>A</v>
      </c>
      <c r="R17" s="24" t="s">
        <v>0</v>
      </c>
    </row>
    <row r="18" spans="3:18" ht="14" x14ac:dyDescent="0.15">
      <c r="C18" s="24" t="s">
        <v>6</v>
      </c>
      <c r="D18" s="25">
        <v>38365.379999999997</v>
      </c>
      <c r="E18" s="25">
        <v>9591.35</v>
      </c>
      <c r="F18" s="25">
        <v>3</v>
      </c>
      <c r="G18" s="25">
        <v>12</v>
      </c>
      <c r="H18" s="25">
        <v>0.75519999999999998</v>
      </c>
      <c r="I18" s="25">
        <v>4233.6000000000004</v>
      </c>
      <c r="J18" s="25" t="s">
        <v>37</v>
      </c>
      <c r="K18" s="25">
        <v>14</v>
      </c>
      <c r="L18" s="25">
        <v>7</v>
      </c>
      <c r="M18" s="30">
        <f>6*16</f>
        <v>96</v>
      </c>
      <c r="N18" s="25">
        <f t="shared" si="0"/>
        <v>288</v>
      </c>
      <c r="O18">
        <f>K18*2</f>
        <v>28</v>
      </c>
      <c r="P18" s="26">
        <f t="shared" si="1"/>
        <v>10.285714285714286</v>
      </c>
      <c r="Q18" t="str">
        <f t="shared" si="2"/>
        <v>G</v>
      </c>
      <c r="R18" s="24" t="s">
        <v>6</v>
      </c>
    </row>
    <row r="19" spans="3:18" ht="14" x14ac:dyDescent="0.15">
      <c r="C19" s="24" t="s">
        <v>2</v>
      </c>
      <c r="D19" s="25">
        <v>38269.230000000003</v>
      </c>
      <c r="E19" s="25">
        <v>9567.31</v>
      </c>
      <c r="F19" s="25">
        <v>3</v>
      </c>
      <c r="G19" s="25">
        <v>12</v>
      </c>
      <c r="H19" s="25">
        <v>0.75329999999999997</v>
      </c>
      <c r="I19" s="25">
        <v>4233.6000000000004</v>
      </c>
      <c r="J19" s="25" t="s">
        <v>38</v>
      </c>
      <c r="K19" s="25">
        <v>8</v>
      </c>
      <c r="L19" s="25">
        <v>7</v>
      </c>
      <c r="M19" s="30">
        <f>7*8</f>
        <v>56</v>
      </c>
      <c r="N19" s="25">
        <f t="shared" si="0"/>
        <v>168</v>
      </c>
      <c r="O19">
        <f>K19*2</f>
        <v>16</v>
      </c>
      <c r="P19" s="26">
        <f t="shared" si="1"/>
        <v>10.5</v>
      </c>
      <c r="Q19" t="str">
        <f t="shared" si="2"/>
        <v>C</v>
      </c>
      <c r="R19" s="24" t="s">
        <v>2</v>
      </c>
    </row>
    <row r="20" spans="3:18" ht="14" x14ac:dyDescent="0.15">
      <c r="C20" s="24" t="s">
        <v>10</v>
      </c>
      <c r="D20" s="25">
        <v>29759.62</v>
      </c>
      <c r="E20" s="25">
        <v>7439.9</v>
      </c>
      <c r="F20" s="25">
        <v>2</v>
      </c>
      <c r="G20" s="25">
        <v>8</v>
      </c>
      <c r="H20" s="25">
        <v>0.87870000000000004</v>
      </c>
      <c r="I20" s="25">
        <v>4233.6000000000004</v>
      </c>
      <c r="J20" s="25" t="s">
        <v>34</v>
      </c>
      <c r="K20" s="25">
        <v>14</v>
      </c>
      <c r="L20" s="25">
        <v>7</v>
      </c>
      <c r="M20" s="30">
        <f>14*7</f>
        <v>98</v>
      </c>
      <c r="N20" s="25">
        <f t="shared" si="0"/>
        <v>196</v>
      </c>
      <c r="O20">
        <f>K20*2</f>
        <v>28</v>
      </c>
      <c r="P20" s="26">
        <f t="shared" si="1"/>
        <v>7</v>
      </c>
      <c r="Q20" t="str">
        <f t="shared" si="2"/>
        <v>K</v>
      </c>
      <c r="R20" s="24" t="s">
        <v>10</v>
      </c>
    </row>
    <row r="21" spans="3:18" x14ac:dyDescent="0.15">
      <c r="D21" s="26"/>
      <c r="E21" s="26"/>
      <c r="F21" s="26"/>
      <c r="G21" s="26"/>
      <c r="H21" s="26"/>
      <c r="I21" s="26"/>
      <c r="J21" s="26"/>
      <c r="K21" s="26"/>
      <c r="L21" s="26"/>
    </row>
    <row r="23" spans="3:18" ht="28" x14ac:dyDescent="0.15">
      <c r="E23" s="27" t="s">
        <v>32</v>
      </c>
    </row>
    <row r="24" spans="3:18" ht="14" x14ac:dyDescent="0.15">
      <c r="E24" s="28" t="s">
        <v>33</v>
      </c>
    </row>
  </sheetData>
  <sortState xmlns:xlrd2="http://schemas.microsoft.com/office/spreadsheetml/2017/richdata2" ref="C8:I20">
    <sortCondition descending="1" ref="E8:E20"/>
  </sortState>
  <mergeCells count="1">
    <mergeCell ref="O3:P3"/>
  </mergeCells>
  <conditionalFormatting sqref="F8:F20">
    <cfRule type="colorScale" priority="2">
      <colorScale>
        <cfvo type="min"/>
        <cfvo type="percentile" val="50"/>
        <cfvo type="max"/>
        <color rgb="FFFF0000"/>
        <color rgb="FFFFFF00"/>
        <color theme="6" tint="-0.499984740745262"/>
      </colorScale>
    </cfRule>
  </conditionalFormatting>
  <conditionalFormatting sqref="N8:N20">
    <cfRule type="colorScale" priority="1">
      <colorScale>
        <cfvo type="min"/>
        <cfvo type="percentile" val="50"/>
        <cfvo type="max"/>
        <color rgb="FFFF0000"/>
        <color rgb="FFFFFF00"/>
        <color theme="6" tint="-0.49998474074526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0972-E940-3341-9B07-E0A2B3C5A7B7}">
  <dimension ref="A2:J10"/>
  <sheetViews>
    <sheetView zoomScale="150" workbookViewId="0">
      <selection activeCell="C13" sqref="C13"/>
    </sheetView>
  </sheetViews>
  <sheetFormatPr baseColWidth="10" defaultRowHeight="13" x14ac:dyDescent="0.15"/>
  <cols>
    <col min="1" max="2" width="10.83203125" style="17"/>
    <col min="3" max="3" width="17.33203125" style="17" customWidth="1"/>
    <col min="4" max="16384" width="10.83203125" style="17"/>
  </cols>
  <sheetData>
    <row r="2" spans="1:10" ht="28" x14ac:dyDescent="0.15">
      <c r="D2" s="33" t="s">
        <v>44</v>
      </c>
    </row>
    <row r="3" spans="1:10" x14ac:dyDescent="0.15">
      <c r="B3" s="15" t="s">
        <v>18</v>
      </c>
      <c r="C3" s="16"/>
      <c r="D3" s="16"/>
      <c r="E3" s="16"/>
      <c r="F3" s="16"/>
      <c r="G3" s="16"/>
      <c r="H3" s="16"/>
      <c r="I3" s="16"/>
      <c r="J3" s="16"/>
    </row>
    <row r="4" spans="1:10" x14ac:dyDescent="0.15">
      <c r="B4" s="16"/>
      <c r="C4" s="16"/>
      <c r="D4" s="16"/>
      <c r="E4" s="16"/>
      <c r="F4" s="15" t="s">
        <v>45</v>
      </c>
      <c r="G4" s="15" t="s">
        <v>19</v>
      </c>
      <c r="H4" s="15" t="s">
        <v>20</v>
      </c>
      <c r="I4" s="16"/>
      <c r="J4" s="16"/>
    </row>
    <row r="5" spans="1:10" x14ac:dyDescent="0.15">
      <c r="B5" s="21" t="s">
        <v>14</v>
      </c>
      <c r="C5" s="18"/>
      <c r="D5" s="19" t="s">
        <v>13</v>
      </c>
      <c r="E5" s="19"/>
      <c r="F5" s="19">
        <v>80384.615384615405</v>
      </c>
      <c r="G5" s="20">
        <v>0.10646968925114626</v>
      </c>
      <c r="H5" s="20">
        <v>0.10646968925114626</v>
      </c>
      <c r="I5" s="16"/>
      <c r="J5" s="16"/>
    </row>
    <row r="6" spans="1:10" x14ac:dyDescent="0.15">
      <c r="B6" s="21" t="s">
        <v>15</v>
      </c>
      <c r="C6" s="18"/>
      <c r="D6" s="19" t="s">
        <v>16</v>
      </c>
      <c r="E6" s="19"/>
      <c r="F6" s="19">
        <v>56923.0769230769</v>
      </c>
      <c r="G6" s="20">
        <v>7.539480387162506E-2</v>
      </c>
      <c r="H6" s="20">
        <v>0.18186449312277131</v>
      </c>
      <c r="I6" s="16"/>
      <c r="J6" s="16"/>
    </row>
    <row r="7" spans="1:10" x14ac:dyDescent="0.15">
      <c r="B7" s="21" t="s">
        <v>17</v>
      </c>
      <c r="C7" s="18"/>
      <c r="D7" s="19" t="s">
        <v>16</v>
      </c>
      <c r="E7" s="19"/>
      <c r="F7" s="19">
        <v>128269.23076923069</v>
      </c>
      <c r="G7" s="20">
        <v>0.16989302088639832</v>
      </c>
      <c r="H7" s="20">
        <v>0.35175751400916966</v>
      </c>
      <c r="I7" s="16"/>
      <c r="J7" s="16"/>
    </row>
    <row r="8" spans="1:10" x14ac:dyDescent="0.15">
      <c r="A8" s="22"/>
      <c r="B8" s="21" t="s">
        <v>21</v>
      </c>
      <c r="C8" s="18"/>
      <c r="D8" s="19" t="s">
        <v>16</v>
      </c>
      <c r="E8" s="19"/>
      <c r="F8" s="19">
        <v>172692.3076923076</v>
      </c>
      <c r="G8" s="20">
        <v>0.2287315333672949</v>
      </c>
      <c r="H8" s="20">
        <v>0.58048904737646456</v>
      </c>
      <c r="I8" s="16"/>
      <c r="J8" s="16"/>
    </row>
    <row r="9" spans="1:10" x14ac:dyDescent="0.15">
      <c r="B9" s="31" t="s">
        <v>22</v>
      </c>
      <c r="C9" s="32"/>
      <c r="D9" s="15" t="s">
        <v>16</v>
      </c>
      <c r="E9" s="16"/>
      <c r="F9" s="19">
        <v>115384.6153846154</v>
      </c>
      <c r="G9" s="20">
        <v>0.15282730514518603</v>
      </c>
      <c r="H9" s="20">
        <v>0.73331635252165062</v>
      </c>
      <c r="I9" s="16"/>
      <c r="J9" s="16"/>
    </row>
    <row r="10" spans="1:10" ht="14" x14ac:dyDescent="0.15">
      <c r="B10" s="33" t="s">
        <v>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3C2D-7864-974B-A6C0-6D36C7103BF1}">
  <dimension ref="A2:AL55"/>
  <sheetViews>
    <sheetView zoomScale="35" zoomScaleNormal="74" workbookViewId="0">
      <selection activeCell="R55" sqref="R55"/>
    </sheetView>
  </sheetViews>
  <sheetFormatPr baseColWidth="10" defaultColWidth="5.1640625" defaultRowHeight="31" customHeight="1" x14ac:dyDescent="0.15"/>
  <cols>
    <col min="1" max="16384" width="5.1640625" style="17"/>
  </cols>
  <sheetData>
    <row r="2" spans="1:35" ht="31" customHeight="1" x14ac:dyDescent="0.15">
      <c r="A2" s="35" t="s">
        <v>46</v>
      </c>
      <c r="B2" s="34"/>
      <c r="C2" s="34"/>
      <c r="D2" s="34"/>
      <c r="E2" s="34"/>
      <c r="F2" s="34"/>
      <c r="G2" s="34"/>
      <c r="H2" s="34"/>
      <c r="I2" s="35" t="s">
        <v>47</v>
      </c>
      <c r="J2" s="34"/>
      <c r="K2" s="34"/>
      <c r="L2" s="34"/>
      <c r="M2" s="34"/>
      <c r="R2" s="35" t="s">
        <v>48</v>
      </c>
      <c r="S2" s="34"/>
      <c r="T2" s="34"/>
      <c r="U2" s="34"/>
      <c r="AA2" s="35" t="s">
        <v>60</v>
      </c>
      <c r="AB2" s="34"/>
      <c r="AC2" s="34"/>
      <c r="AD2" s="34"/>
      <c r="AG2" s="35"/>
      <c r="AH2" s="34"/>
      <c r="AI2" s="34"/>
    </row>
    <row r="3" spans="1:35" ht="31" customHeight="1" x14ac:dyDescent="0.15">
      <c r="B3" s="34">
        <v>1</v>
      </c>
      <c r="C3" s="34">
        <v>2</v>
      </c>
      <c r="D3" s="34">
        <v>3</v>
      </c>
      <c r="E3" s="34"/>
      <c r="F3" s="34"/>
      <c r="G3" s="34"/>
      <c r="H3" s="34"/>
      <c r="I3" s="34"/>
      <c r="J3" s="34">
        <v>1</v>
      </c>
      <c r="K3" s="34">
        <v>2</v>
      </c>
      <c r="L3" s="34">
        <v>3</v>
      </c>
      <c r="M3" s="34">
        <v>4</v>
      </c>
      <c r="N3" s="17">
        <v>5</v>
      </c>
      <c r="R3" s="35" t="s">
        <v>49</v>
      </c>
      <c r="S3" s="34"/>
      <c r="T3" s="34"/>
      <c r="U3" s="34"/>
      <c r="AA3" s="35" t="s">
        <v>61</v>
      </c>
      <c r="AB3" s="34"/>
      <c r="AC3" s="34"/>
      <c r="AD3" s="34"/>
      <c r="AG3" s="35"/>
      <c r="AH3" s="34"/>
      <c r="AI3" s="34"/>
    </row>
    <row r="4" spans="1:35" ht="31" customHeight="1" x14ac:dyDescent="0.15">
      <c r="E4" s="17">
        <v>1</v>
      </c>
      <c r="O4" s="17">
        <v>1</v>
      </c>
      <c r="R4" s="35" t="s">
        <v>50</v>
      </c>
      <c r="AA4" s="35" t="s">
        <v>62</v>
      </c>
      <c r="AG4" s="35"/>
    </row>
    <row r="5" spans="1:35" ht="31" customHeight="1" x14ac:dyDescent="0.15">
      <c r="E5" s="17">
        <v>2</v>
      </c>
      <c r="O5" s="17">
        <v>2</v>
      </c>
      <c r="R5" s="35" t="s">
        <v>51</v>
      </c>
      <c r="AA5" s="35" t="s">
        <v>64</v>
      </c>
      <c r="AG5" s="35"/>
    </row>
    <row r="6" spans="1:35" ht="31" customHeight="1" x14ac:dyDescent="0.15">
      <c r="E6" s="17">
        <v>3</v>
      </c>
      <c r="O6" s="17">
        <v>3</v>
      </c>
      <c r="R6" s="35" t="s">
        <v>52</v>
      </c>
      <c r="AA6" s="35"/>
      <c r="AG6" s="35"/>
    </row>
    <row r="7" spans="1:35" ht="31" customHeight="1" x14ac:dyDescent="0.15">
      <c r="O7" s="17">
        <v>4</v>
      </c>
      <c r="R7" s="35" t="s">
        <v>53</v>
      </c>
      <c r="AA7" s="35"/>
      <c r="AG7" s="35"/>
    </row>
    <row r="8" spans="1:35" ht="31" customHeight="1" x14ac:dyDescent="0.15">
      <c r="O8" s="17">
        <v>5</v>
      </c>
      <c r="R8" s="35" t="s">
        <v>54</v>
      </c>
    </row>
    <row r="9" spans="1:35" ht="31" customHeight="1" x14ac:dyDescent="0.15">
      <c r="O9" s="17">
        <v>6</v>
      </c>
      <c r="R9" s="35" t="s">
        <v>58</v>
      </c>
    </row>
    <row r="10" spans="1:35" ht="31" customHeight="1" x14ac:dyDescent="0.15">
      <c r="R10" s="35" t="s">
        <v>55</v>
      </c>
      <c r="T10" s="33" t="s">
        <v>56</v>
      </c>
      <c r="U10" s="33" t="s">
        <v>57</v>
      </c>
    </row>
    <row r="11" spans="1:35" ht="31" customHeight="1" x14ac:dyDescent="0.15">
      <c r="R11" s="33" t="s">
        <v>59</v>
      </c>
    </row>
    <row r="13" spans="1:35" ht="31" customHeight="1" x14ac:dyDescent="0.15">
      <c r="B13" s="39">
        <v>1</v>
      </c>
      <c r="C13" s="39">
        <v>2</v>
      </c>
      <c r="D13" s="17">
        <v>3</v>
      </c>
      <c r="E13" s="17">
        <v>4</v>
      </c>
      <c r="F13" s="17">
        <v>5</v>
      </c>
      <c r="G13" s="17">
        <v>6</v>
      </c>
      <c r="T13" s="39">
        <v>1</v>
      </c>
      <c r="U13" s="39">
        <v>2</v>
      </c>
      <c r="V13" s="39">
        <v>3</v>
      </c>
      <c r="W13" s="39">
        <v>4</v>
      </c>
      <c r="X13" s="39">
        <v>5</v>
      </c>
      <c r="Y13" s="17">
        <v>6</v>
      </c>
      <c r="Z13" s="17">
        <v>7</v>
      </c>
      <c r="AA13" s="17">
        <v>8</v>
      </c>
    </row>
    <row r="14" spans="1:35" ht="31" customHeight="1" x14ac:dyDescent="0.15">
      <c r="H14" s="39">
        <v>1</v>
      </c>
      <c r="AB14" s="39">
        <v>1</v>
      </c>
    </row>
    <row r="15" spans="1:35" ht="31" customHeight="1" x14ac:dyDescent="0.15">
      <c r="H15" s="39">
        <v>2</v>
      </c>
      <c r="AB15" s="39">
        <v>2</v>
      </c>
    </row>
    <row r="16" spans="1:35" ht="31" customHeight="1" x14ac:dyDescent="0.15">
      <c r="H16" s="39">
        <v>3</v>
      </c>
      <c r="AB16" s="39">
        <v>3</v>
      </c>
    </row>
    <row r="17" spans="2:38" ht="31" customHeight="1" x14ac:dyDescent="0.15">
      <c r="H17" s="17">
        <v>4</v>
      </c>
      <c r="AB17" s="17">
        <v>4</v>
      </c>
    </row>
    <row r="18" spans="2:38" ht="31" customHeight="1" x14ac:dyDescent="0.15">
      <c r="H18" s="17">
        <v>5</v>
      </c>
      <c r="AB18" s="17">
        <v>5</v>
      </c>
    </row>
    <row r="19" spans="2:38" ht="31" customHeight="1" x14ac:dyDescent="0.15">
      <c r="H19" s="17">
        <v>6</v>
      </c>
      <c r="AB19" s="17">
        <v>6</v>
      </c>
    </row>
    <row r="20" spans="2:38" ht="31" customHeight="1" x14ac:dyDescent="0.15">
      <c r="AB20" s="17">
        <v>7</v>
      </c>
    </row>
    <row r="21" spans="2:38" ht="31" customHeight="1" x14ac:dyDescent="0.15">
      <c r="AB21" s="17">
        <v>8</v>
      </c>
    </row>
    <row r="26" spans="2:38" ht="31" customHeight="1" x14ac:dyDescent="0.15">
      <c r="X26" s="39">
        <v>1</v>
      </c>
      <c r="Y26" s="39">
        <v>2</v>
      </c>
      <c r="Z26" s="39">
        <v>3</v>
      </c>
      <c r="AA26" s="17">
        <v>4</v>
      </c>
      <c r="AB26" s="17">
        <v>5</v>
      </c>
    </row>
    <row r="27" spans="2:38" ht="31" customHeight="1" x14ac:dyDescent="0.15">
      <c r="B27" s="39">
        <v>1</v>
      </c>
      <c r="C27" s="39">
        <v>2</v>
      </c>
      <c r="D27" s="39">
        <v>3</v>
      </c>
      <c r="E27" s="39">
        <v>4</v>
      </c>
      <c r="F27" s="17">
        <v>5</v>
      </c>
      <c r="G27" s="17">
        <v>6</v>
      </c>
      <c r="L27" s="39">
        <v>1</v>
      </c>
      <c r="M27" s="39">
        <f>L27+1</f>
        <v>2</v>
      </c>
      <c r="N27" s="17">
        <f t="shared" ref="N27:Q27" si="0">M27+1</f>
        <v>3</v>
      </c>
      <c r="O27" s="17">
        <f t="shared" si="0"/>
        <v>4</v>
      </c>
      <c r="P27" s="17">
        <f t="shared" si="0"/>
        <v>5</v>
      </c>
      <c r="Q27" s="17">
        <f t="shared" si="0"/>
        <v>6</v>
      </c>
      <c r="AC27" s="39">
        <v>1</v>
      </c>
    </row>
    <row r="28" spans="2:38" ht="31" customHeight="1" x14ac:dyDescent="0.15">
      <c r="H28" s="39">
        <v>1</v>
      </c>
      <c r="R28" s="39">
        <v>1</v>
      </c>
      <c r="AC28" s="39">
        <v>2</v>
      </c>
      <c r="AG28" s="39">
        <v>1</v>
      </c>
      <c r="AH28" s="39">
        <v>2</v>
      </c>
      <c r="AI28" s="39">
        <v>3</v>
      </c>
      <c r="AJ28" s="39">
        <v>4</v>
      </c>
      <c r="AK28" s="17">
        <v>5</v>
      </c>
    </row>
    <row r="29" spans="2:38" ht="31" customHeight="1" x14ac:dyDescent="0.15">
      <c r="H29" s="39">
        <v>2</v>
      </c>
      <c r="R29" s="39">
        <v>2</v>
      </c>
      <c r="AC29" s="17">
        <v>3</v>
      </c>
      <c r="AL29" s="39">
        <v>1</v>
      </c>
    </row>
    <row r="30" spans="2:38" ht="31" customHeight="1" x14ac:dyDescent="0.15">
      <c r="H30" s="17">
        <v>3</v>
      </c>
      <c r="R30" s="39">
        <v>3</v>
      </c>
      <c r="AC30" s="17">
        <v>4</v>
      </c>
      <c r="AL30" s="17">
        <v>2</v>
      </c>
    </row>
    <row r="31" spans="2:38" ht="31" customHeight="1" x14ac:dyDescent="0.15">
      <c r="H31" s="17">
        <v>4</v>
      </c>
      <c r="R31" s="39">
        <v>4</v>
      </c>
      <c r="AC31" s="17">
        <v>5</v>
      </c>
      <c r="AL31" s="17">
        <v>3</v>
      </c>
    </row>
    <row r="32" spans="2:38" ht="31" customHeight="1" x14ac:dyDescent="0.15">
      <c r="H32" s="17">
        <v>5</v>
      </c>
      <c r="R32" s="17">
        <v>5</v>
      </c>
      <c r="AL32" s="17">
        <v>4</v>
      </c>
    </row>
    <row r="33" spans="4:38" ht="31" customHeight="1" x14ac:dyDescent="0.15">
      <c r="H33" s="17">
        <v>6</v>
      </c>
      <c r="R33" s="17">
        <v>6</v>
      </c>
      <c r="AL33" s="17">
        <v>5</v>
      </c>
    </row>
    <row r="34" spans="4:38" ht="31" customHeight="1" x14ac:dyDescent="0.15">
      <c r="R34" s="17">
        <v>7</v>
      </c>
      <c r="AL34" s="17">
        <v>6</v>
      </c>
    </row>
    <row r="37" spans="4:38" ht="31" customHeight="1" x14ac:dyDescent="0.15">
      <c r="X37" s="39">
        <v>1</v>
      </c>
      <c r="Y37" s="39">
        <v>2</v>
      </c>
      <c r="Z37" s="39">
        <v>3</v>
      </c>
    </row>
    <row r="38" spans="4:38" ht="31" customHeight="1" x14ac:dyDescent="0.15">
      <c r="G38" s="39">
        <v>1</v>
      </c>
      <c r="H38" s="39">
        <v>2</v>
      </c>
      <c r="I38" s="39">
        <v>3</v>
      </c>
      <c r="J38" s="39">
        <v>4</v>
      </c>
      <c r="K38" s="39">
        <v>5</v>
      </c>
      <c r="L38" s="17">
        <v>6</v>
      </c>
      <c r="M38" s="17">
        <v>7</v>
      </c>
      <c r="AA38" s="39">
        <v>1</v>
      </c>
    </row>
    <row r="39" spans="4:38" ht="31" customHeight="1" x14ac:dyDescent="0.15">
      <c r="N39" s="39">
        <v>1</v>
      </c>
      <c r="AA39" s="17">
        <v>2</v>
      </c>
    </row>
    <row r="40" spans="4:38" ht="31" customHeight="1" x14ac:dyDescent="0.15">
      <c r="N40" s="39">
        <v>2</v>
      </c>
      <c r="AA40" s="17">
        <v>3</v>
      </c>
    </row>
    <row r="41" spans="4:38" ht="31" customHeight="1" x14ac:dyDescent="0.15">
      <c r="N41" s="39">
        <v>3</v>
      </c>
    </row>
    <row r="42" spans="4:38" ht="31" customHeight="1" x14ac:dyDescent="0.15">
      <c r="N42" s="17">
        <v>4</v>
      </c>
    </row>
    <row r="43" spans="4:38" ht="31" customHeight="1" x14ac:dyDescent="0.15">
      <c r="N43" s="17">
        <v>5</v>
      </c>
    </row>
    <row r="44" spans="4:38" ht="31" customHeight="1" x14ac:dyDescent="0.15">
      <c r="N44" s="17">
        <v>6</v>
      </c>
    </row>
    <row r="45" spans="4:38" ht="31" customHeight="1" x14ac:dyDescent="0.15">
      <c r="N45" s="17">
        <v>7</v>
      </c>
    </row>
    <row r="46" spans="4:38" ht="31" customHeight="1" x14ac:dyDescent="0.15">
      <c r="N46" s="17">
        <v>8</v>
      </c>
    </row>
    <row r="47" spans="4:38" ht="31" customHeight="1" x14ac:dyDescent="0.15">
      <c r="D47" s="39">
        <v>1</v>
      </c>
      <c r="E47" s="39">
        <v>2</v>
      </c>
      <c r="F47" s="39">
        <v>3</v>
      </c>
    </row>
    <row r="48" spans="4:38" ht="31" customHeight="1" x14ac:dyDescent="0.15">
      <c r="G48" s="39">
        <v>1</v>
      </c>
    </row>
    <row r="49" spans="7:23" ht="31" customHeight="1" x14ac:dyDescent="0.15">
      <c r="G49" s="17">
        <v>2</v>
      </c>
    </row>
    <row r="50" spans="7:23" ht="31" customHeight="1" x14ac:dyDescent="0.15">
      <c r="G50" s="17">
        <v>3</v>
      </c>
      <c r="J50" s="39">
        <v>1</v>
      </c>
      <c r="K50" s="39">
        <v>2</v>
      </c>
      <c r="L50" s="17">
        <v>3</v>
      </c>
      <c r="S50" s="39">
        <v>1</v>
      </c>
      <c r="T50" s="39">
        <v>2</v>
      </c>
      <c r="U50" s="17">
        <v>3</v>
      </c>
      <c r="V50" s="17">
        <v>4</v>
      </c>
    </row>
    <row r="51" spans="7:23" ht="31" customHeight="1" x14ac:dyDescent="0.15">
      <c r="M51" s="39">
        <v>1</v>
      </c>
      <c r="W51" s="39">
        <v>1</v>
      </c>
    </row>
    <row r="52" spans="7:23" ht="31" customHeight="1" x14ac:dyDescent="0.15">
      <c r="M52" s="17">
        <v>2</v>
      </c>
      <c r="W52" s="39">
        <v>2</v>
      </c>
    </row>
    <row r="53" spans="7:23" ht="31" customHeight="1" x14ac:dyDescent="0.15">
      <c r="M53" s="22">
        <v>3</v>
      </c>
      <c r="W53" s="17">
        <v>3</v>
      </c>
    </row>
    <row r="54" spans="7:23" ht="31" customHeight="1" x14ac:dyDescent="0.15">
      <c r="W54" s="17">
        <v>4</v>
      </c>
    </row>
    <row r="55" spans="7:23" ht="31" customHeight="1" x14ac:dyDescent="0.15">
      <c r="W55" s="17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5D35-37AE-5245-BE88-5371B66560B3}">
  <dimension ref="A2:AJ53"/>
  <sheetViews>
    <sheetView zoomScale="26" zoomScaleNormal="74" workbookViewId="0">
      <selection activeCell="CE12" sqref="CE12"/>
    </sheetView>
  </sheetViews>
  <sheetFormatPr baseColWidth="10" defaultColWidth="5.1640625" defaultRowHeight="31" customHeight="1" x14ac:dyDescent="0.15"/>
  <cols>
    <col min="1" max="16384" width="5.1640625" style="17"/>
  </cols>
  <sheetData>
    <row r="2" spans="1:36" ht="31" customHeight="1" x14ac:dyDescent="0.15">
      <c r="A2" s="35"/>
      <c r="B2" s="34"/>
      <c r="C2" s="34"/>
      <c r="D2" s="34"/>
      <c r="E2" s="34"/>
      <c r="F2" s="34"/>
      <c r="G2" s="34"/>
      <c r="H2" s="34"/>
      <c r="I2" s="35"/>
      <c r="J2" s="34"/>
      <c r="K2" s="34"/>
      <c r="L2" s="34"/>
      <c r="M2" s="34"/>
      <c r="R2" s="35"/>
      <c r="S2" s="34"/>
      <c r="T2" s="34"/>
      <c r="U2" s="34"/>
      <c r="Z2" s="36"/>
      <c r="AC2" s="37"/>
      <c r="AD2" s="37"/>
      <c r="AE2" s="36"/>
      <c r="AF2" s="36"/>
      <c r="AG2" s="37"/>
      <c r="AH2" s="34"/>
      <c r="AI2" s="37" t="s">
        <v>60</v>
      </c>
      <c r="AJ2" s="37"/>
    </row>
    <row r="3" spans="1:36" ht="31" customHeight="1" x14ac:dyDescent="0.15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R3" s="35"/>
      <c r="S3" s="34"/>
      <c r="T3" s="34"/>
      <c r="U3" s="34"/>
      <c r="Z3" s="36"/>
      <c r="AC3" s="37"/>
      <c r="AD3" s="37"/>
      <c r="AE3" s="36"/>
      <c r="AF3" s="36"/>
      <c r="AG3" s="37"/>
      <c r="AH3" s="34"/>
      <c r="AI3" s="37" t="s">
        <v>61</v>
      </c>
      <c r="AJ3" s="37"/>
    </row>
    <row r="4" spans="1:36" ht="31" customHeight="1" x14ac:dyDescent="0.15">
      <c r="R4" s="35"/>
      <c r="Z4" s="36"/>
      <c r="AC4" s="36"/>
      <c r="AD4" s="36"/>
      <c r="AE4" s="36"/>
      <c r="AF4" s="36"/>
      <c r="AG4" s="37"/>
      <c r="AI4" s="37" t="s">
        <v>62</v>
      </c>
      <c r="AJ4" s="36"/>
    </row>
    <row r="5" spans="1:36" ht="31" customHeight="1" x14ac:dyDescent="0.15">
      <c r="R5" s="35"/>
      <c r="Z5" s="36"/>
      <c r="AA5" s="37"/>
      <c r="AB5" s="36"/>
      <c r="AC5" s="36"/>
      <c r="AD5" s="36"/>
      <c r="AE5" s="36"/>
      <c r="AF5" s="36"/>
      <c r="AG5" s="37"/>
    </row>
    <row r="6" spans="1:36" ht="31" customHeight="1" x14ac:dyDescent="0.15">
      <c r="R6" s="35"/>
      <c r="Z6" s="36"/>
      <c r="AA6" s="37"/>
      <c r="AB6" s="36"/>
      <c r="AC6" s="36"/>
      <c r="AD6" s="36"/>
      <c r="AE6" s="36"/>
      <c r="AF6" s="36"/>
      <c r="AG6" s="37"/>
      <c r="AI6" s="37" t="s">
        <v>63</v>
      </c>
    </row>
    <row r="7" spans="1:36" ht="31" customHeight="1" x14ac:dyDescent="0.15">
      <c r="R7" s="35"/>
      <c r="AA7" s="35"/>
      <c r="AG7" s="35"/>
      <c r="AI7" s="37" t="s">
        <v>66</v>
      </c>
    </row>
    <row r="8" spans="1:36" ht="31" customHeight="1" x14ac:dyDescent="0.15">
      <c r="R8" s="35"/>
    </row>
    <row r="9" spans="1:36" ht="31" customHeight="1" x14ac:dyDescent="0.15">
      <c r="R9" s="35"/>
    </row>
    <row r="10" spans="1:36" ht="31" customHeight="1" x14ac:dyDescent="0.15">
      <c r="R10" s="35"/>
      <c r="T10" s="33"/>
      <c r="U10" s="33"/>
    </row>
    <row r="11" spans="1:36" ht="31" customHeight="1" x14ac:dyDescent="0.15">
      <c r="R11" s="33"/>
    </row>
    <row r="53" spans="13:13" ht="31" customHeight="1" x14ac:dyDescent="0.15">
      <c r="M53" s="2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4CF8-3E5D-EF4D-9787-49E534D52E78}">
  <dimension ref="A2:CK53"/>
  <sheetViews>
    <sheetView topLeftCell="D12" zoomScale="106" zoomScaleNormal="74" workbookViewId="0">
      <selection activeCell="BJ19" sqref="BJ19"/>
    </sheetView>
  </sheetViews>
  <sheetFormatPr baseColWidth="10" defaultColWidth="5.1640625" defaultRowHeight="31" customHeight="1" x14ac:dyDescent="0.15"/>
  <cols>
    <col min="1" max="23" width="5.1640625" style="61"/>
    <col min="24" max="40" width="5.33203125" style="61" bestFit="1" customWidth="1"/>
    <col min="41" max="46" width="5.1640625" style="61"/>
    <col min="47" max="47" width="7.83203125" style="61" bestFit="1" customWidth="1"/>
    <col min="48" max="59" width="6.1640625" style="61" bestFit="1" customWidth="1"/>
    <col min="60" max="62" width="5.1640625" style="61"/>
    <col min="63" max="63" width="7.83203125" style="61" bestFit="1" customWidth="1"/>
    <col min="64" max="64" width="5.1640625" style="61"/>
    <col min="65" max="65" width="10.1640625" style="61" bestFit="1" customWidth="1"/>
    <col min="66" max="76" width="5.1640625" style="61"/>
    <col min="77" max="77" width="8" style="61" bestFit="1" customWidth="1"/>
    <col min="78" max="16384" width="5.1640625" style="61"/>
  </cols>
  <sheetData>
    <row r="2" spans="1:89" ht="31" customHeight="1" x14ac:dyDescent="0.1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R2" s="60"/>
      <c r="S2" s="60"/>
      <c r="T2" s="60"/>
      <c r="U2" s="60"/>
      <c r="Z2" s="62"/>
      <c r="AC2" s="63"/>
      <c r="AD2" s="63"/>
      <c r="AE2" s="62"/>
      <c r="AF2" s="62"/>
      <c r="AG2" s="63"/>
      <c r="AH2" s="60"/>
      <c r="AI2" s="63" t="s">
        <v>60</v>
      </c>
      <c r="AJ2" s="63"/>
    </row>
    <row r="3" spans="1:89" ht="31" customHeight="1" x14ac:dyDescent="0.15"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R3" s="60"/>
      <c r="S3" s="60"/>
      <c r="T3" s="60"/>
      <c r="U3" s="60"/>
      <c r="Z3" s="62"/>
      <c r="AC3" s="63"/>
      <c r="AD3" s="63"/>
      <c r="AE3" s="62"/>
      <c r="AF3" s="62"/>
      <c r="AG3" s="63"/>
      <c r="AH3" s="60"/>
      <c r="AI3" s="63" t="s">
        <v>61</v>
      </c>
      <c r="AJ3" s="63"/>
    </row>
    <row r="4" spans="1:89" ht="31" customHeight="1" x14ac:dyDescent="0.15">
      <c r="R4" s="60"/>
      <c r="Z4" s="62"/>
      <c r="AC4" s="62"/>
      <c r="AD4" s="62"/>
      <c r="AE4" s="62"/>
      <c r="AF4" s="62"/>
      <c r="AG4" s="63"/>
      <c r="AI4" s="63" t="s">
        <v>62</v>
      </c>
      <c r="AJ4" s="62"/>
    </row>
    <row r="5" spans="1:89" ht="31" customHeight="1" x14ac:dyDescent="0.15">
      <c r="R5" s="60"/>
      <c r="Z5" s="62"/>
      <c r="AA5" s="63"/>
      <c r="AB5" s="62"/>
      <c r="AC5" s="62"/>
      <c r="AD5" s="62"/>
      <c r="AE5" s="62"/>
      <c r="AF5" s="62"/>
      <c r="AG5" s="63"/>
    </row>
    <row r="6" spans="1:89" ht="31" customHeight="1" x14ac:dyDescent="0.15">
      <c r="R6" s="60"/>
      <c r="Z6" s="62"/>
      <c r="AA6" s="63"/>
      <c r="AB6" s="62"/>
      <c r="AC6" s="62"/>
      <c r="AD6" s="62"/>
      <c r="AE6" s="62"/>
      <c r="AF6" s="62"/>
      <c r="AG6" s="63"/>
      <c r="AI6" s="63" t="s">
        <v>63</v>
      </c>
    </row>
    <row r="7" spans="1:89" ht="31" customHeight="1" x14ac:dyDescent="0.15">
      <c r="R7" s="60"/>
      <c r="AA7" s="60"/>
      <c r="AG7" s="60"/>
      <c r="AI7" s="63" t="s">
        <v>66</v>
      </c>
    </row>
    <row r="8" spans="1:89" ht="31" customHeight="1" x14ac:dyDescent="0.15">
      <c r="R8" s="60"/>
    </row>
    <row r="9" spans="1:89" ht="31" customHeight="1" x14ac:dyDescent="0.15">
      <c r="R9" s="60"/>
    </row>
    <row r="10" spans="1:89" ht="31" customHeight="1" x14ac:dyDescent="0.15">
      <c r="R10" s="60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</row>
    <row r="11" spans="1:89" ht="31" customHeight="1" x14ac:dyDescent="0.15">
      <c r="AT11" s="60" t="s">
        <v>79</v>
      </c>
      <c r="AU11" s="60"/>
      <c r="AV11" s="60"/>
      <c r="AW11" s="60"/>
      <c r="AX11" s="60"/>
      <c r="AY11" s="60"/>
      <c r="AZ11" s="60"/>
      <c r="BI11" s="60" t="s">
        <v>80</v>
      </c>
      <c r="BJ11" s="60"/>
      <c r="BK11" s="60"/>
      <c r="BL11" s="60"/>
      <c r="BM11" s="60"/>
      <c r="BN11" s="60"/>
      <c r="BO11" s="60"/>
      <c r="BX11" s="61" t="s">
        <v>81</v>
      </c>
    </row>
    <row r="12" spans="1:89" ht="31" customHeight="1" x14ac:dyDescent="0.15">
      <c r="W12" s="61" t="s">
        <v>82</v>
      </c>
      <c r="X12" s="61" t="s">
        <v>83</v>
      </c>
      <c r="AL12" s="65" t="s">
        <v>73</v>
      </c>
      <c r="AT12" s="66"/>
      <c r="AU12" s="67" t="s">
        <v>0</v>
      </c>
      <c r="AV12" s="67" t="s">
        <v>1</v>
      </c>
      <c r="AW12" s="67" t="s">
        <v>2</v>
      </c>
      <c r="AX12" s="67" t="s">
        <v>3</v>
      </c>
      <c r="AY12" s="67" t="s">
        <v>4</v>
      </c>
      <c r="AZ12" s="67" t="s">
        <v>5</v>
      </c>
      <c r="BA12" s="67" t="s">
        <v>6</v>
      </c>
      <c r="BB12" s="67" t="s">
        <v>7</v>
      </c>
      <c r="BC12" s="67" t="s">
        <v>8</v>
      </c>
      <c r="BD12" s="67" t="s">
        <v>9</v>
      </c>
      <c r="BE12" s="67" t="s">
        <v>10</v>
      </c>
      <c r="BF12" s="67" t="s">
        <v>11</v>
      </c>
      <c r="BG12" s="67" t="s">
        <v>12</v>
      </c>
      <c r="BI12" s="66"/>
      <c r="BJ12" s="67" t="s">
        <v>0</v>
      </c>
      <c r="BK12" s="67" t="s">
        <v>1</v>
      </c>
      <c r="BL12" s="67" t="s">
        <v>2</v>
      </c>
      <c r="BM12" s="67" t="s">
        <v>3</v>
      </c>
      <c r="BN12" s="67" t="s">
        <v>4</v>
      </c>
      <c r="BO12" s="67" t="s">
        <v>5</v>
      </c>
      <c r="BP12" s="67" t="s">
        <v>6</v>
      </c>
      <c r="BQ12" s="67" t="s">
        <v>7</v>
      </c>
      <c r="BR12" s="67" t="s">
        <v>8</v>
      </c>
      <c r="BS12" s="67" t="s">
        <v>9</v>
      </c>
      <c r="BT12" s="67" t="s">
        <v>10</v>
      </c>
      <c r="BU12" s="67" t="s">
        <v>11</v>
      </c>
      <c r="BV12" s="67" t="s">
        <v>12</v>
      </c>
      <c r="BX12" s="66"/>
      <c r="BY12" s="67" t="s">
        <v>0</v>
      </c>
      <c r="BZ12" s="67" t="s">
        <v>1</v>
      </c>
      <c r="CA12" s="67" t="s">
        <v>2</v>
      </c>
      <c r="CB12" s="67" t="s">
        <v>3</v>
      </c>
      <c r="CC12" s="67" t="s">
        <v>4</v>
      </c>
      <c r="CD12" s="67" t="s">
        <v>5</v>
      </c>
      <c r="CE12" s="67" t="s">
        <v>6</v>
      </c>
      <c r="CF12" s="67" t="s">
        <v>7</v>
      </c>
      <c r="CG12" s="67" t="s">
        <v>8</v>
      </c>
      <c r="CH12" s="67" t="s">
        <v>9</v>
      </c>
      <c r="CI12" s="67" t="s">
        <v>10</v>
      </c>
      <c r="CJ12" s="67" t="s">
        <v>11</v>
      </c>
      <c r="CK12" s="67" t="s">
        <v>12</v>
      </c>
    </row>
    <row r="13" spans="1:89" ht="31" customHeight="1" x14ac:dyDescent="0.15">
      <c r="AM13" s="60" t="s">
        <v>67</v>
      </c>
      <c r="AN13" s="60" t="s">
        <v>74</v>
      </c>
      <c r="AT13" s="68" t="s">
        <v>0</v>
      </c>
      <c r="AU13" s="69"/>
      <c r="AV13" s="69">
        <f>ABS(IF(AV28&gt;0,VLOOKUP(AV$12,$AL$14:$AM$26,2,FALSE)-VLOOKUP($AT13,$AL$14:$AM$26,2,FALSE),""))</f>
        <v>2</v>
      </c>
      <c r="AW13" s="69">
        <f t="shared" ref="AW13" si="0">ABS(IF(AW28&gt;0,VLOOKUP(AW$12,$AL$14:$AM$26,2,FALSE)-VLOOKUP($AT13,$AL$14:$AM$26,2,FALSE),""))</f>
        <v>0</v>
      </c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I13" s="68" t="s">
        <v>0</v>
      </c>
      <c r="BJ13" s="69"/>
      <c r="BK13" s="69">
        <f>ABS(IF(AV28&gt;0,VLOOKUP(BK$12,$AL$14:$AN$26,3,FALSE)-VLOOKUP($AT13,$AL$14:$AN$26,3,FALSE),""))</f>
        <v>0</v>
      </c>
      <c r="BL13" s="69">
        <f>ABS(IF(AW28&gt;0,VLOOKUP(BL$12,$AL$14:$AN$26,3,FALSE)-VLOOKUP($AT13,$AL$14:$AN$26,3,FALSE),""))</f>
        <v>1</v>
      </c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X13" s="68" t="s">
        <v>0</v>
      </c>
      <c r="BY13" s="69" t="str">
        <f>IF(SQRT(AU13^2+BJ13^2)=0,"",SQRT(AU13^2+BJ13^2))</f>
        <v/>
      </c>
      <c r="BZ13" s="69">
        <f>IF(SQRT(AV13^2+BK13^2)=0,"",SQRT(AV13^2+BK13^2))*10</f>
        <v>20</v>
      </c>
      <c r="CA13" s="69">
        <f>IF(SQRT(AW13^2+BL13^2)=0,"",SQRT(AW13^2+BL13^2))*10</f>
        <v>10</v>
      </c>
      <c r="CB13" s="69" t="str">
        <f t="shared" ref="CB13:CK25" si="1">IF(SQRT(AX13^2+BM13^2)=0,"",SQRT(AX13^2+BM13^2))</f>
        <v/>
      </c>
      <c r="CC13" s="69" t="str">
        <f t="shared" si="1"/>
        <v/>
      </c>
      <c r="CD13" s="69" t="str">
        <f t="shared" si="1"/>
        <v/>
      </c>
      <c r="CE13" s="69" t="str">
        <f t="shared" si="1"/>
        <v/>
      </c>
      <c r="CF13" s="69" t="str">
        <f t="shared" si="1"/>
        <v/>
      </c>
      <c r="CG13" s="69" t="str">
        <f t="shared" si="1"/>
        <v/>
      </c>
      <c r="CH13" s="69" t="str">
        <f t="shared" si="1"/>
        <v/>
      </c>
      <c r="CI13" s="69" t="str">
        <f t="shared" si="1"/>
        <v/>
      </c>
      <c r="CJ13" s="69" t="str">
        <f t="shared" si="1"/>
        <v/>
      </c>
      <c r="CK13" s="69" t="str">
        <f t="shared" si="1"/>
        <v/>
      </c>
    </row>
    <row r="14" spans="1:89" ht="31" customHeight="1" x14ac:dyDescent="0.15">
      <c r="O14" s="60"/>
      <c r="P14" s="64">
        <v>1</v>
      </c>
      <c r="Q14" s="64">
        <f>P14+1</f>
        <v>2</v>
      </c>
      <c r="R14" s="64">
        <f t="shared" ref="R14:AE14" si="2">Q14+1</f>
        <v>3</v>
      </c>
      <c r="S14" s="64">
        <f t="shared" si="2"/>
        <v>4</v>
      </c>
      <c r="T14" s="64">
        <f t="shared" si="2"/>
        <v>5</v>
      </c>
      <c r="U14" s="64">
        <f t="shared" si="2"/>
        <v>6</v>
      </c>
      <c r="V14" s="64">
        <f t="shared" si="2"/>
        <v>7</v>
      </c>
      <c r="W14" s="64">
        <f t="shared" si="2"/>
        <v>8</v>
      </c>
      <c r="X14" s="64">
        <f t="shared" si="2"/>
        <v>9</v>
      </c>
      <c r="Y14" s="64">
        <f t="shared" si="2"/>
        <v>10</v>
      </c>
      <c r="Z14" s="64">
        <f t="shared" si="2"/>
        <v>11</v>
      </c>
      <c r="AA14" s="64">
        <f t="shared" si="2"/>
        <v>12</v>
      </c>
      <c r="AB14" s="64">
        <f t="shared" si="2"/>
        <v>13</v>
      </c>
      <c r="AC14" s="64">
        <f t="shared" si="2"/>
        <v>14</v>
      </c>
      <c r="AD14" s="64">
        <f t="shared" si="2"/>
        <v>15</v>
      </c>
      <c r="AE14" s="64">
        <f t="shared" si="2"/>
        <v>16</v>
      </c>
      <c r="AF14" s="64"/>
      <c r="AG14" s="64"/>
      <c r="AH14" s="64"/>
      <c r="AI14" s="64"/>
      <c r="AJ14" s="64"/>
      <c r="AK14" s="64"/>
      <c r="AL14" s="70" t="s">
        <v>12</v>
      </c>
      <c r="AM14" s="71">
        <v>13</v>
      </c>
      <c r="AN14" s="71">
        <v>13</v>
      </c>
      <c r="AO14" s="72"/>
      <c r="AP14" s="72"/>
      <c r="AT14" s="68" t="s">
        <v>1</v>
      </c>
      <c r="AU14" s="69">
        <f t="shared" ref="AU14:BC15" si="3">ABS(IF(AU29&gt;0,VLOOKUP(AU$12,$AL$14:$AM$26,2,FALSE)-VLOOKUP($AT14,$AL$14:$AM$26,2,FALSE),""))</f>
        <v>2</v>
      </c>
      <c r="AV14" s="69"/>
      <c r="AW14" s="69">
        <f t="shared" si="3"/>
        <v>2</v>
      </c>
      <c r="AX14" s="69">
        <f t="shared" si="3"/>
        <v>5</v>
      </c>
      <c r="AY14" s="69"/>
      <c r="AZ14" s="69"/>
      <c r="BA14" s="69"/>
      <c r="BB14" s="69"/>
      <c r="BC14" s="69"/>
      <c r="BD14" s="69"/>
      <c r="BE14" s="69"/>
      <c r="BF14" s="69"/>
      <c r="BG14" s="69"/>
      <c r="BI14" s="68" t="s">
        <v>1</v>
      </c>
      <c r="BJ14" s="69">
        <f>ABS(IF(AU29&gt;0,VLOOKUP(BJ$12,$AL$14:$AN$26,3,FALSE)-VLOOKUP($AT14,$AL$14:$AN$26,3,FALSE),""))</f>
        <v>0</v>
      </c>
      <c r="BK14" s="69"/>
      <c r="BL14" s="69">
        <f t="shared" ref="BL14:BM14" si="4">ABS(IF(AW29&gt;0,VLOOKUP(BL$12,$AL$14:$AN$26,3,FALSE)-VLOOKUP($AT14,$AL$14:$AN$26,3,FALSE),""))</f>
        <v>1</v>
      </c>
      <c r="BM14" s="69">
        <f t="shared" si="4"/>
        <v>0</v>
      </c>
      <c r="BN14" s="69"/>
      <c r="BO14" s="69"/>
      <c r="BP14" s="69"/>
      <c r="BQ14" s="69"/>
      <c r="BR14" s="69"/>
      <c r="BS14" s="69"/>
      <c r="BT14" s="69"/>
      <c r="BU14" s="69"/>
      <c r="BV14" s="69"/>
      <c r="BX14" s="68" t="s">
        <v>1</v>
      </c>
      <c r="BY14" s="69">
        <f>IF(SQRT(AU14^2+BJ14^2)=0,"",SQRT(AU14^2+BJ14^2))*10</f>
        <v>20</v>
      </c>
      <c r="BZ14" s="69" t="str">
        <f t="shared" ref="BZ14:CA25" si="5">IF(SQRT(AV14^2+BK14^2)=0,"",SQRT(AV14^2+BK14^2))</f>
        <v/>
      </c>
      <c r="CA14" s="69">
        <f>IF(SQRT(AW14^2+BL14^2)=0,"",SQRT(AW14^2+BL14^2))*10</f>
        <v>22.360679774997898</v>
      </c>
      <c r="CB14" s="69">
        <f>IF(SQRT(AX14^2+BM14^2)=0,"",SQRT(AX14^2+BM14^2))*10</f>
        <v>50</v>
      </c>
      <c r="CC14" s="69" t="str">
        <f t="shared" si="1"/>
        <v/>
      </c>
      <c r="CD14" s="69" t="str">
        <f t="shared" si="1"/>
        <v/>
      </c>
      <c r="CE14" s="69" t="str">
        <f t="shared" si="1"/>
        <v/>
      </c>
      <c r="CF14" s="69" t="str">
        <f t="shared" si="1"/>
        <v/>
      </c>
      <c r="CG14" s="69" t="str">
        <f t="shared" si="1"/>
        <v/>
      </c>
      <c r="CH14" s="69" t="str">
        <f t="shared" si="1"/>
        <v/>
      </c>
      <c r="CI14" s="69" t="str">
        <f t="shared" si="1"/>
        <v/>
      </c>
      <c r="CJ14" s="69" t="str">
        <f t="shared" si="1"/>
        <v/>
      </c>
      <c r="CK14" s="69" t="str">
        <f t="shared" si="1"/>
        <v/>
      </c>
    </row>
    <row r="15" spans="1:89" ht="31" customHeight="1" x14ac:dyDescent="0.15">
      <c r="O15" s="61">
        <v>1</v>
      </c>
      <c r="AL15" s="70" t="s">
        <v>9</v>
      </c>
      <c r="AM15" s="71">
        <v>11</v>
      </c>
      <c r="AN15" s="71">
        <v>4</v>
      </c>
      <c r="AO15" s="72"/>
      <c r="AP15" s="72"/>
      <c r="AT15" s="68" t="s">
        <v>2</v>
      </c>
      <c r="AU15" s="69"/>
      <c r="AV15" s="69"/>
      <c r="AW15" s="69"/>
      <c r="AX15" s="69">
        <f t="shared" si="3"/>
        <v>3</v>
      </c>
      <c r="AY15" s="69"/>
      <c r="AZ15" s="69"/>
      <c r="BA15" s="69"/>
      <c r="BB15" s="69"/>
      <c r="BC15" s="69">
        <f t="shared" si="3"/>
        <v>3</v>
      </c>
      <c r="BD15" s="69"/>
      <c r="BE15" s="69"/>
      <c r="BF15" s="69"/>
      <c r="BG15" s="69"/>
      <c r="BI15" s="68" t="s">
        <v>2</v>
      </c>
      <c r="BJ15" s="69"/>
      <c r="BK15" s="69"/>
      <c r="BL15" s="69"/>
      <c r="BM15" s="69">
        <f>ABS(IF(AX30&gt;0,VLOOKUP(BM$12,$AL$14:$AN$26,3,FALSE)-VLOOKUP($AT15,$AL$14:$AN$26,3,FALSE),""))</f>
        <v>1</v>
      </c>
      <c r="BN15" s="69"/>
      <c r="BO15" s="69"/>
      <c r="BP15" s="69"/>
      <c r="BQ15" s="69"/>
      <c r="BR15" s="69">
        <f>ABS(IF(BC30&gt;0,VLOOKUP(BR$12,$AL$14:$AN$26,3,FALSE)-VLOOKUP($AT15,$AL$14:$AN$26,3,FALSE),""))</f>
        <v>5</v>
      </c>
      <c r="BS15" s="69"/>
      <c r="BT15" s="69"/>
      <c r="BU15" s="69"/>
      <c r="BV15" s="69"/>
      <c r="BX15" s="68" t="s">
        <v>2</v>
      </c>
      <c r="BY15" s="69" t="str">
        <f t="shared" ref="BY15:BY25" si="6">IF(SQRT(AU15^2+BJ15^2)=0,"",SQRT(AU15^2+BJ15^2))</f>
        <v/>
      </c>
      <c r="BZ15" s="69" t="str">
        <f t="shared" si="5"/>
        <v/>
      </c>
      <c r="CA15" s="69" t="str">
        <f t="shared" si="5"/>
        <v/>
      </c>
      <c r="CB15" s="69">
        <f>IF(SQRT(AX15^2+BM15^2)=0,"",SQRT(AX15^2+BM15^2))*10</f>
        <v>31.622776601683796</v>
      </c>
      <c r="CC15" s="69" t="str">
        <f t="shared" si="1"/>
        <v/>
      </c>
      <c r="CD15" s="69" t="str">
        <f t="shared" si="1"/>
        <v/>
      </c>
      <c r="CE15" s="69" t="str">
        <f t="shared" si="1"/>
        <v/>
      </c>
      <c r="CF15" s="69" t="str">
        <f t="shared" si="1"/>
        <v/>
      </c>
      <c r="CG15" s="69">
        <f>IF(SQRT(BC15^2+BR15^2)=0,"",SQRT(BC15^2+BR15^2))*10</f>
        <v>58.309518948453004</v>
      </c>
      <c r="CH15" s="69" t="str">
        <f t="shared" si="1"/>
        <v/>
      </c>
      <c r="CI15" s="69" t="str">
        <f t="shared" si="1"/>
        <v/>
      </c>
      <c r="CJ15" s="69" t="str">
        <f t="shared" si="1"/>
        <v/>
      </c>
      <c r="CK15" s="69" t="str">
        <f t="shared" si="1"/>
        <v/>
      </c>
    </row>
    <row r="16" spans="1:89" ht="31" customHeight="1" x14ac:dyDescent="0.15">
      <c r="O16" s="61">
        <f>O15+1</f>
        <v>2</v>
      </c>
      <c r="AL16" s="70" t="s">
        <v>3</v>
      </c>
      <c r="AM16" s="71">
        <v>7</v>
      </c>
      <c r="AN16" s="71">
        <v>2</v>
      </c>
      <c r="AO16" s="72"/>
      <c r="AP16" s="72"/>
      <c r="AT16" s="68" t="s">
        <v>3</v>
      </c>
      <c r="AU16" s="69"/>
      <c r="AV16" s="69"/>
      <c r="AW16" s="69">
        <f t="shared" ref="AW16:BC16" si="7">ABS(IF(AW31&gt;0,VLOOKUP(AW$12,$AL$14:$AM$26,2,FALSE)-VLOOKUP($AT16,$AL$14:$AM$26,2,FALSE),""))</f>
        <v>3</v>
      </c>
      <c r="AX16" s="69"/>
      <c r="AY16" s="69"/>
      <c r="AZ16" s="69"/>
      <c r="BA16" s="69">
        <f>ABS(IF(BA31&gt;0,VLOOKUP(BA$12,$AL$14:$AM$26,2,FALSE)-VLOOKUP($AT16,$AL$14:$AM$26,2,FALSE),""))</f>
        <v>1</v>
      </c>
      <c r="BB16" s="69">
        <f t="shared" si="7"/>
        <v>1</v>
      </c>
      <c r="BC16" s="69">
        <f t="shared" si="7"/>
        <v>0</v>
      </c>
      <c r="BD16" s="69"/>
      <c r="BE16" s="69"/>
      <c r="BF16" s="69"/>
      <c r="BG16" s="69"/>
      <c r="BI16" s="68" t="s">
        <v>3</v>
      </c>
      <c r="BJ16" s="69"/>
      <c r="BK16" s="69"/>
      <c r="BL16" s="69">
        <f>ABS(IF(AW31&gt;0,VLOOKUP(BL$12,$AL$14:$AN$26,3,FALSE)-VLOOKUP($AT16,$AL$14:$AN$26,3,FALSE),""))</f>
        <v>1</v>
      </c>
      <c r="BM16" s="69"/>
      <c r="BN16" s="69"/>
      <c r="BO16" s="69"/>
      <c r="BP16" s="69">
        <f>ABS(IF(BA31&gt;0,VLOOKUP(BP$12,$AL$14:$AN$26,3,FALSE)-VLOOKUP($AT16,$AL$14:$AN$26,3,FALSE),""))</f>
        <v>7</v>
      </c>
      <c r="BQ16" s="69">
        <f t="shared" ref="BQ16:BR16" si="8">ABS(IF(BB31&gt;0,VLOOKUP(BQ$12,$AL$14:$AN$26,3,FALSE)-VLOOKUP($AT16,$AL$14:$AN$26,3,FALSE),""))</f>
        <v>7</v>
      </c>
      <c r="BR16" s="69">
        <f t="shared" si="8"/>
        <v>4</v>
      </c>
      <c r="BS16" s="69"/>
      <c r="BT16" s="69"/>
      <c r="BU16" s="69"/>
      <c r="BV16" s="69"/>
      <c r="BX16" s="68" t="s">
        <v>3</v>
      </c>
      <c r="BY16" s="69" t="str">
        <f t="shared" si="6"/>
        <v/>
      </c>
      <c r="BZ16" s="69" t="str">
        <f t="shared" si="5"/>
        <v/>
      </c>
      <c r="CA16" s="69">
        <f>IF(SQRT(AW16^2+BL16^2)=0,"",SQRT(AW16^2+BL16^2))*10</f>
        <v>31.622776601683796</v>
      </c>
      <c r="CB16" s="69" t="str">
        <f t="shared" ref="CB16:CB25" si="9">IF(SQRT(AX16^2+BM16^2)=0,"",SQRT(AX16^2+BM16^2))</f>
        <v/>
      </c>
      <c r="CC16" s="69" t="str">
        <f t="shared" si="1"/>
        <v/>
      </c>
      <c r="CD16" s="69" t="str">
        <f t="shared" si="1"/>
        <v/>
      </c>
      <c r="CE16" s="69">
        <f>IF(SQRT(BA16^2+BP16^2)=0,"",SQRT(BA16^2+BP16^2))*10</f>
        <v>70.710678118654755</v>
      </c>
      <c r="CF16" s="69">
        <f>IF(SQRT(BB16^2+BQ16^2)=0,"",SQRT(BB16^2+BQ16^2))*10</f>
        <v>70.710678118654755</v>
      </c>
      <c r="CG16" s="69">
        <f>IF(SQRT(BC16^2+BR16^2)=0,"",SQRT(BC16^2+BR16^2))*10</f>
        <v>40</v>
      </c>
      <c r="CH16" s="69" t="str">
        <f t="shared" si="1"/>
        <v/>
      </c>
      <c r="CI16" s="69" t="str">
        <f t="shared" si="1"/>
        <v/>
      </c>
      <c r="CJ16" s="69" t="str">
        <f t="shared" si="1"/>
        <v/>
      </c>
      <c r="CK16" s="69" t="str">
        <f t="shared" si="1"/>
        <v/>
      </c>
    </row>
    <row r="17" spans="15:89" ht="31" customHeight="1" x14ac:dyDescent="0.15">
      <c r="O17" s="61">
        <f t="shared" ref="O17:O28" si="10">O16+1</f>
        <v>3</v>
      </c>
      <c r="AL17" s="70" t="s">
        <v>1</v>
      </c>
      <c r="AM17" s="71">
        <v>2</v>
      </c>
      <c r="AN17" s="71">
        <v>2</v>
      </c>
      <c r="AO17" s="72"/>
      <c r="AP17" s="72"/>
      <c r="AT17" s="68" t="s">
        <v>4</v>
      </c>
      <c r="AU17" s="69"/>
      <c r="AV17" s="69"/>
      <c r="AW17" s="69"/>
      <c r="AX17" s="69"/>
      <c r="AY17" s="69"/>
      <c r="AZ17" s="69">
        <f t="shared" ref="AZ17:BB17" si="11">ABS(IF(AZ32&gt;0,VLOOKUP(AZ$12,$AL$14:$AM$26,2,FALSE)-VLOOKUP($AT17,$AL$14:$AM$26,2,FALSE),""))</f>
        <v>2</v>
      </c>
      <c r="BA17" s="69">
        <f t="shared" si="11"/>
        <v>5</v>
      </c>
      <c r="BB17" s="69">
        <f t="shared" si="11"/>
        <v>5</v>
      </c>
      <c r="BC17" s="69"/>
      <c r="BD17" s="69"/>
      <c r="BE17" s="69"/>
      <c r="BF17" s="69"/>
      <c r="BG17" s="69"/>
      <c r="BI17" s="68" t="s">
        <v>4</v>
      </c>
      <c r="BJ17" s="69"/>
      <c r="BK17" s="69"/>
      <c r="BL17" s="69"/>
      <c r="BM17" s="69"/>
      <c r="BN17" s="69"/>
      <c r="BO17" s="69">
        <f t="shared" ref="BO17:BS20" si="12">ABS(IF(AZ32&gt;0,VLOOKUP(BO$12,$AL$14:$AN$26,3,FALSE)-VLOOKUP($AT17,$AL$14:$AN$26,3,FALSE),""))</f>
        <v>2</v>
      </c>
      <c r="BP17" s="69">
        <f t="shared" si="12"/>
        <v>2</v>
      </c>
      <c r="BQ17" s="69">
        <f t="shared" si="12"/>
        <v>2</v>
      </c>
      <c r="BR17" s="69"/>
      <c r="BS17" s="69"/>
      <c r="BT17" s="69"/>
      <c r="BU17" s="69"/>
      <c r="BV17" s="69"/>
      <c r="BX17" s="68" t="s">
        <v>4</v>
      </c>
      <c r="BY17" s="69" t="str">
        <f t="shared" si="6"/>
        <v/>
      </c>
      <c r="BZ17" s="69" t="str">
        <f t="shared" si="5"/>
        <v/>
      </c>
      <c r="CA17" s="69" t="str">
        <f t="shared" si="5"/>
        <v/>
      </c>
      <c r="CB17" s="69" t="str">
        <f t="shared" si="9"/>
        <v/>
      </c>
      <c r="CC17" s="69" t="str">
        <f t="shared" si="1"/>
        <v/>
      </c>
      <c r="CD17" s="69">
        <f>IF(SQRT(AZ17^2+BO17^2)=0,"",SQRT(AZ17^2+BO17^2))*10</f>
        <v>28.284271247461902</v>
      </c>
      <c r="CE17" s="69">
        <f t="shared" ref="CE17:CG18" si="13">IF(SQRT(BA17^2+BP17^2)=0,"",SQRT(BA17^2+BP17^2))*10</f>
        <v>53.851648071345039</v>
      </c>
      <c r="CF17" s="69">
        <f t="shared" si="13"/>
        <v>53.851648071345039</v>
      </c>
      <c r="CG17" s="69" t="str">
        <f t="shared" si="1"/>
        <v/>
      </c>
      <c r="CH17" s="69" t="str">
        <f t="shared" si="1"/>
        <v/>
      </c>
      <c r="CI17" s="69" t="str">
        <f t="shared" si="1"/>
        <v/>
      </c>
      <c r="CJ17" s="69" t="str">
        <f t="shared" si="1"/>
        <v/>
      </c>
      <c r="CK17" s="69" t="str">
        <f t="shared" si="1"/>
        <v/>
      </c>
    </row>
    <row r="18" spans="15:89" ht="31" customHeight="1" x14ac:dyDescent="0.15">
      <c r="O18" s="61">
        <f t="shared" si="10"/>
        <v>4</v>
      </c>
      <c r="AL18" s="70" t="s">
        <v>11</v>
      </c>
      <c r="AM18" s="71">
        <v>11</v>
      </c>
      <c r="AN18" s="71">
        <v>8</v>
      </c>
      <c r="AO18" s="72"/>
      <c r="AP18" s="72"/>
      <c r="AT18" s="68" t="s">
        <v>5</v>
      </c>
      <c r="AU18" s="69"/>
      <c r="AV18" s="69"/>
      <c r="AW18" s="69">
        <f t="shared" ref="AW18:BC18" si="14">ABS(IF(AW33&gt;0,VLOOKUP(AW$12,$AL$14:$AM$26,2,FALSE)-VLOOKUP($AT18,$AL$14:$AM$26,2,FALSE),""))</f>
        <v>7</v>
      </c>
      <c r="AX18" s="69"/>
      <c r="AY18" s="69"/>
      <c r="AZ18" s="69"/>
      <c r="BA18" s="69">
        <f t="shared" si="14"/>
        <v>3</v>
      </c>
      <c r="BB18" s="69">
        <f t="shared" si="14"/>
        <v>3</v>
      </c>
      <c r="BC18" s="69">
        <f t="shared" si="14"/>
        <v>4</v>
      </c>
      <c r="BD18" s="69"/>
      <c r="BE18" s="69"/>
      <c r="BF18" s="69"/>
      <c r="BG18" s="69"/>
      <c r="BI18" s="68" t="s">
        <v>5</v>
      </c>
      <c r="BJ18" s="69"/>
      <c r="BK18" s="69"/>
      <c r="BL18" s="69">
        <f>ABS(IF(AW33&gt;0,VLOOKUP(BL$12,$AL$14:$AN$26,3,FALSE)-VLOOKUP($AT18,$AL$14:$AN$26,3,FALSE),""))</f>
        <v>8</v>
      </c>
      <c r="BM18" s="69"/>
      <c r="BN18" s="69"/>
      <c r="BO18" s="69"/>
      <c r="BP18" s="69">
        <f t="shared" si="12"/>
        <v>0</v>
      </c>
      <c r="BQ18" s="69">
        <f t="shared" si="12"/>
        <v>0</v>
      </c>
      <c r="BR18" s="69">
        <f t="shared" si="12"/>
        <v>3</v>
      </c>
      <c r="BS18" s="69"/>
      <c r="BT18" s="69"/>
      <c r="BU18" s="69"/>
      <c r="BV18" s="69"/>
      <c r="BX18" s="68" t="s">
        <v>5</v>
      </c>
      <c r="BY18" s="69" t="str">
        <f t="shared" si="6"/>
        <v/>
      </c>
      <c r="BZ18" s="69" t="str">
        <f t="shared" si="5"/>
        <v/>
      </c>
      <c r="CA18" s="69">
        <f>IF(SQRT(AW18^2+BL18^2)=0,"",SQRT(AW18^2+BL18^2))*10</f>
        <v>106.30145812734651</v>
      </c>
      <c r="CB18" s="69" t="str">
        <f t="shared" si="9"/>
        <v/>
      </c>
      <c r="CC18" s="69" t="str">
        <f t="shared" si="1"/>
        <v/>
      </c>
      <c r="CD18" s="69" t="str">
        <f t="shared" si="1"/>
        <v/>
      </c>
      <c r="CE18" s="69">
        <f>IF(SQRT(BA18^2+BP18^2)=0,"",SQRT(BA18^2+BP18^2))*10</f>
        <v>30</v>
      </c>
      <c r="CF18" s="69">
        <f t="shared" si="13"/>
        <v>30</v>
      </c>
      <c r="CG18" s="69">
        <f t="shared" si="13"/>
        <v>50</v>
      </c>
      <c r="CH18" s="69" t="str">
        <f t="shared" si="1"/>
        <v/>
      </c>
      <c r="CI18" s="69" t="str">
        <f t="shared" si="1"/>
        <v/>
      </c>
      <c r="CJ18" s="69" t="str">
        <f t="shared" si="1"/>
        <v/>
      </c>
      <c r="CK18" s="69" t="str">
        <f t="shared" si="1"/>
        <v/>
      </c>
    </row>
    <row r="19" spans="15:89" ht="31" customHeight="1" x14ac:dyDescent="0.15">
      <c r="O19" s="61">
        <f t="shared" si="10"/>
        <v>5</v>
      </c>
      <c r="AL19" s="70" t="s">
        <v>7</v>
      </c>
      <c r="AM19" s="71">
        <v>8</v>
      </c>
      <c r="AN19" s="71">
        <v>9</v>
      </c>
      <c r="AO19" s="72"/>
      <c r="AP19" s="72"/>
      <c r="AT19" s="68" t="s">
        <v>6</v>
      </c>
      <c r="AU19" s="69"/>
      <c r="AV19" s="69"/>
      <c r="AW19" s="69"/>
      <c r="AX19" s="69"/>
      <c r="AY19" s="69">
        <f t="shared" ref="AY19:BD21" si="15">ABS(IF(AY34&gt;0,VLOOKUP(AY$12,$AL$14:$AM$26,2,FALSE)-VLOOKUP($AT19,$AL$14:$AM$26,2,FALSE),""))</f>
        <v>5</v>
      </c>
      <c r="AZ19" s="69">
        <f t="shared" si="15"/>
        <v>3</v>
      </c>
      <c r="BA19" s="69"/>
      <c r="BB19" s="69">
        <f t="shared" si="15"/>
        <v>0</v>
      </c>
      <c r="BC19" s="69">
        <f t="shared" si="15"/>
        <v>1</v>
      </c>
      <c r="BD19" s="69"/>
      <c r="BE19" s="69"/>
      <c r="BF19" s="69"/>
      <c r="BG19" s="69"/>
      <c r="BI19" s="68" t="s">
        <v>6</v>
      </c>
      <c r="BJ19" s="69"/>
      <c r="BK19" s="69"/>
      <c r="BL19" s="69"/>
      <c r="BM19" s="69"/>
      <c r="BN19" s="69">
        <f t="shared" ref="BN19:BO19" si="16">ABS(IF(AY34&gt;0,VLOOKUP(BN$12,$AL$14:$AN$26,3,FALSE)-VLOOKUP($AT19,$AL$14:$AN$26,3,FALSE),""))</f>
        <v>2</v>
      </c>
      <c r="BO19" s="69">
        <f t="shared" si="16"/>
        <v>0</v>
      </c>
      <c r="BP19" s="69"/>
      <c r="BQ19" s="69">
        <f t="shared" si="12"/>
        <v>0</v>
      </c>
      <c r="BR19" s="69">
        <f t="shared" si="12"/>
        <v>3</v>
      </c>
      <c r="BS19" s="69"/>
      <c r="BT19" s="69"/>
      <c r="BU19" s="69"/>
      <c r="BV19" s="69"/>
      <c r="BX19" s="68" t="s">
        <v>6</v>
      </c>
      <c r="BY19" s="69" t="str">
        <f t="shared" si="6"/>
        <v/>
      </c>
      <c r="BZ19" s="69" t="str">
        <f t="shared" si="5"/>
        <v/>
      </c>
      <c r="CA19" s="69" t="str">
        <f t="shared" si="5"/>
        <v/>
      </c>
      <c r="CB19" s="69" t="str">
        <f t="shared" si="9"/>
        <v/>
      </c>
      <c r="CC19" s="69">
        <f>IF(SQRT(AY19^2+BN19^2)=0,"",SQRT(AY19^2+BN19^2))*10</f>
        <v>53.851648071345039</v>
      </c>
      <c r="CD19" s="69">
        <f>IF(SQRT(AZ19^2+BO19^2)=0,"",SQRT(AZ19^2+BO19^2))*10</f>
        <v>30</v>
      </c>
      <c r="CE19" s="69" t="str">
        <f t="shared" si="1"/>
        <v/>
      </c>
      <c r="CF19" s="69" t="str">
        <f t="shared" si="1"/>
        <v/>
      </c>
      <c r="CG19" s="69">
        <f>IF(SQRT(BC19^2+BR19^2)=0,"",SQRT(BC19^2+BR19^2))*10</f>
        <v>31.622776601683796</v>
      </c>
      <c r="CH19" s="69" t="str">
        <f t="shared" si="1"/>
        <v/>
      </c>
      <c r="CI19" s="69" t="str">
        <f t="shared" si="1"/>
        <v/>
      </c>
      <c r="CJ19" s="69" t="str">
        <f t="shared" si="1"/>
        <v/>
      </c>
      <c r="CK19" s="69" t="str">
        <f t="shared" si="1"/>
        <v/>
      </c>
    </row>
    <row r="20" spans="15:89" ht="31" customHeight="1" x14ac:dyDescent="0.15">
      <c r="O20" s="61">
        <f t="shared" si="10"/>
        <v>6</v>
      </c>
      <c r="AL20" s="70" t="s">
        <v>8</v>
      </c>
      <c r="AM20" s="71">
        <v>7</v>
      </c>
      <c r="AN20" s="71">
        <v>6</v>
      </c>
      <c r="AO20" s="72"/>
      <c r="AP20" s="72"/>
      <c r="AT20" s="68" t="s">
        <v>7</v>
      </c>
      <c r="AU20" s="69"/>
      <c r="AV20" s="69"/>
      <c r="AW20" s="69"/>
      <c r="AX20" s="69"/>
      <c r="AY20" s="69"/>
      <c r="AZ20" s="69"/>
      <c r="BA20" s="69"/>
      <c r="BB20" s="69"/>
      <c r="BC20" s="69">
        <f t="shared" si="15"/>
        <v>1</v>
      </c>
      <c r="BD20" s="69">
        <f t="shared" si="15"/>
        <v>3</v>
      </c>
      <c r="BE20" s="69"/>
      <c r="BF20" s="69"/>
      <c r="BG20" s="69"/>
      <c r="BI20" s="68" t="s">
        <v>7</v>
      </c>
      <c r="BJ20" s="69"/>
      <c r="BK20" s="69"/>
      <c r="BL20" s="69"/>
      <c r="BM20" s="69"/>
      <c r="BN20" s="69"/>
      <c r="BO20" s="69"/>
      <c r="BP20" s="69"/>
      <c r="BQ20" s="69"/>
      <c r="BR20" s="69">
        <f t="shared" si="12"/>
        <v>3</v>
      </c>
      <c r="BS20" s="69">
        <f t="shared" si="12"/>
        <v>5</v>
      </c>
      <c r="BT20" s="69"/>
      <c r="BU20" s="69"/>
      <c r="BV20" s="69"/>
      <c r="BX20" s="68" t="s">
        <v>7</v>
      </c>
      <c r="BY20" s="69" t="str">
        <f t="shared" si="6"/>
        <v/>
      </c>
      <c r="BZ20" s="69" t="str">
        <f t="shared" si="5"/>
        <v/>
      </c>
      <c r="CA20" s="69" t="str">
        <f t="shared" si="5"/>
        <v/>
      </c>
      <c r="CB20" s="69" t="str">
        <f t="shared" si="9"/>
        <v/>
      </c>
      <c r="CC20" s="69" t="str">
        <f t="shared" si="1"/>
        <v/>
      </c>
      <c r="CD20" s="69" t="str">
        <f t="shared" si="1"/>
        <v/>
      </c>
      <c r="CE20" s="69" t="str">
        <f t="shared" si="1"/>
        <v/>
      </c>
      <c r="CF20" s="69" t="str">
        <f t="shared" si="1"/>
        <v/>
      </c>
      <c r="CG20" s="69">
        <f>IF(SQRT(BC20^2+BR20^2)=0,"",SQRT(BC20^2+BR20^2))*10</f>
        <v>31.622776601683796</v>
      </c>
      <c r="CH20" s="69">
        <f>IF(SQRT(BD20^2+BS20^2)=0,"",SQRT(BD20^2+BS20^2))*10</f>
        <v>58.309518948453004</v>
      </c>
      <c r="CI20" s="69" t="str">
        <f t="shared" si="1"/>
        <v/>
      </c>
      <c r="CJ20" s="69" t="str">
        <f t="shared" si="1"/>
        <v/>
      </c>
      <c r="CK20" s="69" t="str">
        <f t="shared" si="1"/>
        <v/>
      </c>
    </row>
    <row r="21" spans="15:89" ht="31" customHeight="1" x14ac:dyDescent="0.15">
      <c r="O21" s="61">
        <f t="shared" si="10"/>
        <v>7</v>
      </c>
      <c r="AL21" s="70" t="s">
        <v>5</v>
      </c>
      <c r="AM21" s="71">
        <v>11</v>
      </c>
      <c r="AN21" s="71">
        <v>9</v>
      </c>
      <c r="AO21" s="72"/>
      <c r="AP21" s="72"/>
      <c r="AT21" s="68" t="s">
        <v>8</v>
      </c>
      <c r="AU21" s="69"/>
      <c r="AV21" s="69"/>
      <c r="AW21" s="69"/>
      <c r="AX21" s="69"/>
      <c r="AY21" s="69"/>
      <c r="AZ21" s="69"/>
      <c r="BA21" s="69"/>
      <c r="BB21" s="69"/>
      <c r="BC21" s="69"/>
      <c r="BD21" s="69">
        <f t="shared" si="15"/>
        <v>4</v>
      </c>
      <c r="BE21" s="69"/>
      <c r="BF21" s="69"/>
      <c r="BG21" s="69"/>
      <c r="BI21" s="68" t="s">
        <v>8</v>
      </c>
      <c r="BJ21" s="69"/>
      <c r="BK21" s="69"/>
      <c r="BL21" s="69"/>
      <c r="BM21" s="69"/>
      <c r="BN21" s="69"/>
      <c r="BO21" s="69"/>
      <c r="BP21" s="69"/>
      <c r="BQ21" s="69"/>
      <c r="BR21" s="69"/>
      <c r="BS21" s="69">
        <f>ABS(IF(BD36&gt;0,VLOOKUP(BS$12,$AL$14:$AN$26,3,FALSE)-VLOOKUP($AT21,$AL$14:$AN$26,3,FALSE),""))</f>
        <v>2</v>
      </c>
      <c r="BT21" s="69"/>
      <c r="BU21" s="69"/>
      <c r="BV21" s="69"/>
      <c r="BX21" s="68" t="s">
        <v>8</v>
      </c>
      <c r="BY21" s="69" t="str">
        <f t="shared" si="6"/>
        <v/>
      </c>
      <c r="BZ21" s="69" t="str">
        <f t="shared" si="5"/>
        <v/>
      </c>
      <c r="CA21" s="69" t="str">
        <f t="shared" si="5"/>
        <v/>
      </c>
      <c r="CB21" s="69" t="str">
        <f t="shared" si="9"/>
        <v/>
      </c>
      <c r="CC21" s="69" t="str">
        <f t="shared" si="1"/>
        <v/>
      </c>
      <c r="CD21" s="69" t="str">
        <f t="shared" si="1"/>
        <v/>
      </c>
      <c r="CE21" s="69" t="str">
        <f t="shared" si="1"/>
        <v/>
      </c>
      <c r="CF21" s="69" t="str">
        <f t="shared" si="1"/>
        <v/>
      </c>
      <c r="CG21" s="69" t="str">
        <f t="shared" si="1"/>
        <v/>
      </c>
      <c r="CH21" s="69">
        <f>IF(SQRT(BD21^2+BS21^2)=0,"",SQRT(BD21^2+BS21^2))*10</f>
        <v>44.721359549995796</v>
      </c>
      <c r="CI21" s="69" t="str">
        <f t="shared" si="1"/>
        <v/>
      </c>
      <c r="CJ21" s="69" t="str">
        <f t="shared" si="1"/>
        <v/>
      </c>
      <c r="CK21" s="69" t="str">
        <f t="shared" si="1"/>
        <v/>
      </c>
    </row>
    <row r="22" spans="15:89" ht="31" customHeight="1" x14ac:dyDescent="0.15">
      <c r="O22" s="61">
        <f t="shared" si="10"/>
        <v>8</v>
      </c>
      <c r="AL22" s="70" t="s">
        <v>4</v>
      </c>
      <c r="AM22" s="71">
        <v>13</v>
      </c>
      <c r="AN22" s="71">
        <v>7</v>
      </c>
      <c r="AO22" s="72"/>
      <c r="AP22" s="72"/>
      <c r="AT22" s="68" t="s">
        <v>9</v>
      </c>
      <c r="AU22" s="69"/>
      <c r="AV22" s="69"/>
      <c r="AW22" s="69"/>
      <c r="AX22" s="69"/>
      <c r="AY22" s="69"/>
      <c r="AZ22" s="69"/>
      <c r="BA22" s="69"/>
      <c r="BB22" s="69"/>
      <c r="BC22" s="69">
        <f t="shared" ref="BC22" si="17">ABS(IF(BC37&gt;0,VLOOKUP(BC$12,$AL$14:$AM$26,2,FALSE)-VLOOKUP($AT22,$AL$14:$AM$26,2,FALSE),""))</f>
        <v>4</v>
      </c>
      <c r="BD22" s="69"/>
      <c r="BE22" s="69"/>
      <c r="BF22" s="69"/>
      <c r="BG22" s="69"/>
      <c r="BI22" s="68" t="s">
        <v>9</v>
      </c>
      <c r="BJ22" s="69"/>
      <c r="BK22" s="69"/>
      <c r="BL22" s="69"/>
      <c r="BM22" s="69"/>
      <c r="BN22" s="69"/>
      <c r="BO22" s="69"/>
      <c r="BP22" s="69"/>
      <c r="BQ22" s="69"/>
      <c r="BR22" s="69">
        <f>ABS(IF(BC37&gt;0,VLOOKUP(BR$12,$AL$14:$AN$26,3,FALSE)-VLOOKUP($AT22,$AL$14:$AN$26,3,FALSE),""))</f>
        <v>2</v>
      </c>
      <c r="BS22" s="69"/>
      <c r="BT22" s="69"/>
      <c r="BU22" s="69"/>
      <c r="BV22" s="69"/>
      <c r="BX22" s="68" t="s">
        <v>9</v>
      </c>
      <c r="BY22" s="69" t="str">
        <f t="shared" si="6"/>
        <v/>
      </c>
      <c r="BZ22" s="69" t="str">
        <f t="shared" si="5"/>
        <v/>
      </c>
      <c r="CA22" s="69" t="str">
        <f t="shared" si="5"/>
        <v/>
      </c>
      <c r="CB22" s="69" t="str">
        <f t="shared" si="9"/>
        <v/>
      </c>
      <c r="CC22" s="69" t="str">
        <f t="shared" si="1"/>
        <v/>
      </c>
      <c r="CD22" s="69" t="str">
        <f t="shared" si="1"/>
        <v/>
      </c>
      <c r="CE22" s="69" t="str">
        <f t="shared" si="1"/>
        <v/>
      </c>
      <c r="CF22" s="69" t="str">
        <f t="shared" si="1"/>
        <v/>
      </c>
      <c r="CG22" s="69">
        <f>IF(SQRT(BC22^2+BR22^2)=0,"",SQRT(BC22^2+BR22^2))*10</f>
        <v>44.721359549995796</v>
      </c>
      <c r="CH22" s="69" t="str">
        <f t="shared" si="1"/>
        <v/>
      </c>
      <c r="CI22" s="69" t="str">
        <f t="shared" si="1"/>
        <v/>
      </c>
      <c r="CJ22" s="69" t="str">
        <f t="shared" si="1"/>
        <v/>
      </c>
      <c r="CK22" s="69" t="str">
        <f t="shared" si="1"/>
        <v/>
      </c>
    </row>
    <row r="23" spans="15:89" ht="31" customHeight="1" x14ac:dyDescent="0.15">
      <c r="O23" s="61">
        <f t="shared" si="10"/>
        <v>9</v>
      </c>
      <c r="AL23" s="70" t="s">
        <v>0</v>
      </c>
      <c r="AM23" s="71">
        <v>4</v>
      </c>
      <c r="AN23" s="71">
        <v>2</v>
      </c>
      <c r="AO23" s="72"/>
      <c r="AP23" s="72"/>
      <c r="AT23" s="68" t="s">
        <v>10</v>
      </c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>
        <f t="shared" ref="BF23:BG23" si="18">ABS(IF(BF38&gt;0,VLOOKUP(BF$12,$AL$14:$AM$26,2,FALSE)-VLOOKUP($AT23,$AL$14:$AM$26,2,FALSE),""))</f>
        <v>2</v>
      </c>
      <c r="BG23" s="69">
        <f t="shared" si="18"/>
        <v>4</v>
      </c>
      <c r="BI23" s="68" t="s">
        <v>10</v>
      </c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>
        <f t="shared" ref="BU23:BV23" si="19">ABS(IF(BF38&gt;0,VLOOKUP(BU$12,$AL$14:$AN$26,3,FALSE)-VLOOKUP($AT23,$AL$14:$AN$26,3,FALSE),""))</f>
        <v>5</v>
      </c>
      <c r="BV23" s="69">
        <f t="shared" si="19"/>
        <v>0</v>
      </c>
      <c r="BX23" s="68" t="s">
        <v>10</v>
      </c>
      <c r="BY23" s="69" t="str">
        <f t="shared" si="6"/>
        <v/>
      </c>
      <c r="BZ23" s="69" t="str">
        <f t="shared" si="5"/>
        <v/>
      </c>
      <c r="CA23" s="69" t="str">
        <f t="shared" si="5"/>
        <v/>
      </c>
      <c r="CB23" s="69" t="str">
        <f t="shared" si="9"/>
        <v/>
      </c>
      <c r="CC23" s="69" t="str">
        <f t="shared" si="1"/>
        <v/>
      </c>
      <c r="CD23" s="69" t="str">
        <f t="shared" si="1"/>
        <v/>
      </c>
      <c r="CE23" s="69" t="str">
        <f t="shared" si="1"/>
        <v/>
      </c>
      <c r="CF23" s="69" t="str">
        <f t="shared" si="1"/>
        <v/>
      </c>
      <c r="CG23" s="69" t="str">
        <f t="shared" si="1"/>
        <v/>
      </c>
      <c r="CH23" s="69" t="str">
        <f t="shared" si="1"/>
        <v/>
      </c>
      <c r="CI23" s="69" t="str">
        <f t="shared" si="1"/>
        <v/>
      </c>
      <c r="CJ23" s="69">
        <f>IF(SQRT(BF23^2+BU23^2)=0,"",SQRT(BF23^2+BU23^2))*10</f>
        <v>53.851648071345039</v>
      </c>
      <c r="CK23" s="69">
        <f>IF(SQRT(BG23^2+BV23^2)=0,"",SQRT(BG23^2+BV23^2))*10</f>
        <v>40</v>
      </c>
    </row>
    <row r="24" spans="15:89" ht="31" customHeight="1" x14ac:dyDescent="0.15">
      <c r="O24" s="61">
        <f t="shared" si="10"/>
        <v>10</v>
      </c>
      <c r="AL24" s="70" t="s">
        <v>6</v>
      </c>
      <c r="AM24" s="71">
        <v>8</v>
      </c>
      <c r="AN24" s="71">
        <v>9</v>
      </c>
      <c r="AO24" s="72"/>
      <c r="AP24" s="72"/>
      <c r="AT24" s="68" t="s">
        <v>11</v>
      </c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>
        <f t="shared" ref="BE24:BG24" si="20">ABS(IF(BE39&gt;0,VLOOKUP(BE$12,$AL$14:$AM$26,2,FALSE)-VLOOKUP($AT24,$AL$14:$AM$26,2,FALSE),""))</f>
        <v>2</v>
      </c>
      <c r="BF24" s="69"/>
      <c r="BG24" s="69">
        <f t="shared" si="20"/>
        <v>2</v>
      </c>
      <c r="BI24" s="68" t="s">
        <v>11</v>
      </c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>
        <f>ABS(IF(BE39&gt;0,VLOOKUP(BT$12,$AL$14:$AN$26,3,FALSE)-VLOOKUP($AT24,$AL$14:$AN$26,3,FALSE),""))</f>
        <v>5</v>
      </c>
      <c r="BU24" s="69"/>
      <c r="BV24" s="69">
        <f>ABS(IF(BG39&gt;0,VLOOKUP(BV$12,$AL$14:$AN$26,3,FALSE)-VLOOKUP($AT24,$AL$14:$AN$26,3,FALSE),""))</f>
        <v>5</v>
      </c>
      <c r="BX24" s="68" t="s">
        <v>11</v>
      </c>
      <c r="BY24" s="69" t="str">
        <f t="shared" si="6"/>
        <v/>
      </c>
      <c r="BZ24" s="69" t="str">
        <f t="shared" si="5"/>
        <v/>
      </c>
      <c r="CA24" s="69" t="str">
        <f t="shared" si="5"/>
        <v/>
      </c>
      <c r="CB24" s="69" t="str">
        <f t="shared" si="9"/>
        <v/>
      </c>
      <c r="CC24" s="69" t="str">
        <f t="shared" si="1"/>
        <v/>
      </c>
      <c r="CD24" s="69" t="str">
        <f t="shared" si="1"/>
        <v/>
      </c>
      <c r="CE24" s="69" t="str">
        <f t="shared" si="1"/>
        <v/>
      </c>
      <c r="CF24" s="69" t="str">
        <f t="shared" si="1"/>
        <v/>
      </c>
      <c r="CG24" s="69" t="str">
        <f t="shared" si="1"/>
        <v/>
      </c>
      <c r="CH24" s="69" t="str">
        <f t="shared" si="1"/>
        <v/>
      </c>
      <c r="CI24" s="69">
        <f>IF(SQRT(BE24^2+BT24^2)=0,"",SQRT(BE24^2+BT24^2))*10</f>
        <v>53.851648071345039</v>
      </c>
      <c r="CJ24" s="69" t="str">
        <f t="shared" si="1"/>
        <v/>
      </c>
      <c r="CK24" s="69">
        <f>IF(SQRT(BG24^2+BV24^2)=0,"",SQRT(BG24^2+BV24^2))*10</f>
        <v>53.851648071345039</v>
      </c>
    </row>
    <row r="25" spans="15:89" ht="31" customHeight="1" x14ac:dyDescent="0.15">
      <c r="O25" s="61">
        <f t="shared" si="10"/>
        <v>11</v>
      </c>
      <c r="AL25" s="70" t="s">
        <v>2</v>
      </c>
      <c r="AM25" s="71">
        <v>4</v>
      </c>
      <c r="AN25" s="71">
        <v>1</v>
      </c>
      <c r="AO25" s="72"/>
      <c r="AP25" s="72"/>
      <c r="AT25" s="68" t="s">
        <v>12</v>
      </c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>
        <f t="shared" ref="BF25" si="21">ABS(IF(BF40&gt;0,VLOOKUP(BF$12,$AL$14:$AM$26,2,FALSE)-VLOOKUP($AT25,$AL$14:$AM$26,2,FALSE),""))</f>
        <v>2</v>
      </c>
      <c r="BG25" s="69"/>
      <c r="BI25" s="68" t="s">
        <v>12</v>
      </c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>
        <f>ABS(IF(BF40&gt;0,VLOOKUP(BU$12,$AL$14:$AN$26,3,FALSE)-VLOOKUP($AT25,$AL$14:$AN$26,3,FALSE),""))</f>
        <v>5</v>
      </c>
      <c r="BV25" s="69"/>
      <c r="BX25" s="68" t="s">
        <v>12</v>
      </c>
      <c r="BY25" s="69" t="str">
        <f t="shared" si="6"/>
        <v/>
      </c>
      <c r="BZ25" s="69" t="str">
        <f t="shared" si="5"/>
        <v/>
      </c>
      <c r="CA25" s="69" t="str">
        <f t="shared" si="5"/>
        <v/>
      </c>
      <c r="CB25" s="69" t="str">
        <f t="shared" si="9"/>
        <v/>
      </c>
      <c r="CC25" s="69" t="str">
        <f t="shared" si="1"/>
        <v/>
      </c>
      <c r="CD25" s="69" t="str">
        <f t="shared" si="1"/>
        <v/>
      </c>
      <c r="CE25" s="69" t="str">
        <f t="shared" si="1"/>
        <v/>
      </c>
      <c r="CF25" s="69" t="str">
        <f t="shared" si="1"/>
        <v/>
      </c>
      <c r="CG25" s="69" t="str">
        <f t="shared" si="1"/>
        <v/>
      </c>
      <c r="CH25" s="69" t="str">
        <f t="shared" si="1"/>
        <v/>
      </c>
      <c r="CI25" s="69" t="str">
        <f t="shared" si="1"/>
        <v/>
      </c>
      <c r="CJ25" s="69">
        <f>IF(SQRT(BF25^2+BU25^2)=0,"",SQRT(BF25^2+BU25^2))*10</f>
        <v>53.851648071345039</v>
      </c>
      <c r="CK25" s="69" t="str">
        <f t="shared" si="1"/>
        <v/>
      </c>
    </row>
    <row r="26" spans="15:89" ht="31" customHeight="1" x14ac:dyDescent="0.15">
      <c r="O26" s="61">
        <f t="shared" si="10"/>
        <v>12</v>
      </c>
      <c r="AL26" s="70" t="s">
        <v>10</v>
      </c>
      <c r="AM26" s="71">
        <v>9</v>
      </c>
      <c r="AN26" s="71">
        <v>13</v>
      </c>
      <c r="AO26" s="72"/>
      <c r="AP26" s="72"/>
      <c r="AT26" s="61" t="s">
        <v>76</v>
      </c>
    </row>
    <row r="27" spans="15:89" ht="31" customHeight="1" x14ac:dyDescent="0.15">
      <c r="O27" s="61">
        <f t="shared" si="10"/>
        <v>13</v>
      </c>
      <c r="AT27" s="66"/>
      <c r="AU27" s="67" t="s">
        <v>0</v>
      </c>
      <c r="AV27" s="67" t="s">
        <v>1</v>
      </c>
      <c r="AW27" s="67" t="s">
        <v>2</v>
      </c>
      <c r="AX27" s="67" t="s">
        <v>3</v>
      </c>
      <c r="AY27" s="67" t="s">
        <v>4</v>
      </c>
      <c r="AZ27" s="67" t="s">
        <v>5</v>
      </c>
      <c r="BA27" s="67" t="s">
        <v>6</v>
      </c>
      <c r="BB27" s="67" t="s">
        <v>7</v>
      </c>
      <c r="BC27" s="67" t="s">
        <v>8</v>
      </c>
      <c r="BD27" s="67" t="s">
        <v>9</v>
      </c>
      <c r="BE27" s="67" t="s">
        <v>10</v>
      </c>
      <c r="BF27" s="67" t="s">
        <v>11</v>
      </c>
      <c r="BG27" s="67" t="s">
        <v>12</v>
      </c>
      <c r="BI27" s="66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</row>
    <row r="28" spans="15:89" ht="31" customHeight="1" x14ac:dyDescent="0.15">
      <c r="O28" s="61">
        <f t="shared" si="10"/>
        <v>14</v>
      </c>
      <c r="AT28" s="68" t="s">
        <v>0</v>
      </c>
      <c r="AU28" s="69"/>
      <c r="AV28" s="69">
        <f>34230.7692307692/4</f>
        <v>8557.6923076922994</v>
      </c>
      <c r="AW28" s="69">
        <f>11153.8461538462/4</f>
        <v>2788.4615384615499</v>
      </c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I28" s="68"/>
      <c r="BJ28" s="69" t="s">
        <v>68</v>
      </c>
      <c r="BK28" s="69"/>
      <c r="BL28" s="69"/>
      <c r="BM28" s="73">
        <f>SUMPRODUCT(AU28:BG40,BY13:CK25)</f>
        <v>7505568.2708157785</v>
      </c>
      <c r="BN28" s="69"/>
      <c r="BO28" s="69"/>
      <c r="BP28" s="69"/>
      <c r="BQ28" s="69"/>
      <c r="BR28" s="69"/>
      <c r="BS28" s="69"/>
      <c r="BT28" s="69"/>
      <c r="BU28" s="69"/>
      <c r="BV28" s="69"/>
    </row>
    <row r="29" spans="15:89" ht="31" customHeight="1" x14ac:dyDescent="0.15">
      <c r="AT29" s="68" t="s">
        <v>1</v>
      </c>
      <c r="AU29" s="69">
        <f>20961.5384615385/4</f>
        <v>5240.3846153846252</v>
      </c>
      <c r="AV29" s="69"/>
      <c r="AW29" s="69">
        <f>31923.0769230769/4</f>
        <v>7980.769230769225</v>
      </c>
      <c r="AX29" s="69">
        <f>15384.6153846154/4</f>
        <v>3846.1538461538498</v>
      </c>
      <c r="AY29" s="69"/>
      <c r="AZ29" s="69"/>
      <c r="BA29" s="69"/>
      <c r="BB29" s="69"/>
      <c r="BC29" s="69"/>
      <c r="BD29" s="69"/>
      <c r="BE29" s="69"/>
      <c r="BF29" s="69"/>
      <c r="BG29" s="69"/>
      <c r="BI29" s="68"/>
      <c r="BJ29" s="69" t="s">
        <v>75</v>
      </c>
      <c r="BK29" s="69"/>
      <c r="BL29" s="69"/>
      <c r="BM29" s="69">
        <f>SUM(AU28:BG40)</f>
        <v>188749.99999999994</v>
      </c>
      <c r="BN29" s="69"/>
      <c r="BO29" s="69"/>
      <c r="BP29" s="69"/>
      <c r="BQ29" s="69"/>
      <c r="BR29" s="69"/>
      <c r="BS29" s="69"/>
      <c r="BT29" s="69"/>
      <c r="BU29" s="69"/>
      <c r="BV29" s="69"/>
    </row>
    <row r="30" spans="15:89" ht="31" customHeight="1" x14ac:dyDescent="0.15">
      <c r="AT30" s="68" t="s">
        <v>2</v>
      </c>
      <c r="AU30" s="69"/>
      <c r="AV30" s="69"/>
      <c r="AW30" s="69"/>
      <c r="AX30" s="69">
        <f>56923.0769230769/4</f>
        <v>14230.769230769225</v>
      </c>
      <c r="AY30" s="69"/>
      <c r="AZ30" s="69"/>
      <c r="BA30" s="69"/>
      <c r="BB30" s="69"/>
      <c r="BC30" s="69">
        <f>6153.84615384615/4</f>
        <v>1538.4615384615374</v>
      </c>
      <c r="BD30" s="69"/>
      <c r="BE30" s="69"/>
      <c r="BF30" s="69"/>
      <c r="BG30" s="69"/>
      <c r="BI30" s="68"/>
      <c r="BJ30" s="69" t="s">
        <v>69</v>
      </c>
      <c r="BK30" s="69"/>
      <c r="BL30" s="69"/>
      <c r="BM30" s="74">
        <f>BM28/BM29</f>
        <v>39.764600110282281</v>
      </c>
      <c r="BN30" s="69"/>
      <c r="BO30" s="69"/>
      <c r="BP30" s="69"/>
      <c r="BQ30" s="69"/>
      <c r="BR30" s="69"/>
      <c r="BS30" s="69"/>
      <c r="BT30" s="69"/>
      <c r="BU30" s="69"/>
      <c r="BV30" s="69"/>
    </row>
    <row r="31" spans="15:89" ht="31" customHeight="1" x14ac:dyDescent="0.15">
      <c r="AT31" s="68" t="s">
        <v>3</v>
      </c>
      <c r="AU31" s="69"/>
      <c r="AV31" s="69"/>
      <c r="AW31" s="69">
        <f>6153.84615384615/4</f>
        <v>1538.4615384615374</v>
      </c>
      <c r="AX31" s="69"/>
      <c r="AY31" s="69"/>
      <c r="AZ31" s="69"/>
      <c r="BA31" s="69">
        <f>9230.76923076923/4</f>
        <v>2307.6923076923076</v>
      </c>
      <c r="BB31" s="69">
        <f>15192.3076923077/4</f>
        <v>3798.0769230769251</v>
      </c>
      <c r="BC31" s="69">
        <f>41730.7692307692/4</f>
        <v>10432.692307692299</v>
      </c>
      <c r="BD31" s="69"/>
      <c r="BE31" s="69"/>
      <c r="BF31" s="69"/>
      <c r="BG31" s="69"/>
      <c r="BI31" s="68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</row>
    <row r="32" spans="15:89" ht="31" customHeight="1" x14ac:dyDescent="0.15">
      <c r="AT32" s="68" t="s">
        <v>4</v>
      </c>
      <c r="AU32" s="69"/>
      <c r="AV32" s="69"/>
      <c r="AW32" s="69"/>
      <c r="AX32" s="69"/>
      <c r="AY32" s="69"/>
      <c r="AZ32" s="69">
        <f>41538.4615384615/4</f>
        <v>10384.615384615376</v>
      </c>
      <c r="BA32" s="69">
        <f>37307.6923076923/4</f>
        <v>9326.9230769230744</v>
      </c>
      <c r="BB32" s="69">
        <f>4615.38461538462/4</f>
        <v>1153.8461538461549</v>
      </c>
      <c r="BC32" s="69"/>
      <c r="BD32" s="69"/>
      <c r="BE32" s="69"/>
      <c r="BF32" s="69"/>
      <c r="BG32" s="69"/>
      <c r="BI32" s="68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</row>
    <row r="33" spans="46:74" ht="31" customHeight="1" x14ac:dyDescent="0.15">
      <c r="AT33" s="68" t="s">
        <v>5</v>
      </c>
      <c r="AU33" s="69"/>
      <c r="AV33" s="69"/>
      <c r="AW33" s="69">
        <f>13846.1538461538/4</f>
        <v>3461.5384615384501</v>
      </c>
      <c r="AX33" s="69"/>
      <c r="AY33" s="69"/>
      <c r="AZ33" s="69"/>
      <c r="BA33" s="69">
        <f>36923.0769230769/4</f>
        <v>9230.769230769225</v>
      </c>
      <c r="BB33" s="69">
        <f>14230.7692307692/4</f>
        <v>3557.6923076922999</v>
      </c>
      <c r="BC33" s="69">
        <f>14615.3846153846/4</f>
        <v>3653.8461538461502</v>
      </c>
      <c r="BD33" s="69"/>
      <c r="BE33" s="69"/>
      <c r="BF33" s="69"/>
      <c r="BG33" s="69"/>
      <c r="BI33" s="68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</row>
    <row r="34" spans="46:74" ht="31" customHeight="1" x14ac:dyDescent="0.15">
      <c r="AT34" s="68" t="s">
        <v>6</v>
      </c>
      <c r="AU34" s="69"/>
      <c r="AV34" s="69"/>
      <c r="AW34" s="69"/>
      <c r="AX34" s="69"/>
      <c r="AY34" s="69">
        <f>16923.0769230769/4</f>
        <v>4230.769230769225</v>
      </c>
      <c r="AZ34" s="69">
        <f>17307.6923076923/4</f>
        <v>4326.9230769230753</v>
      </c>
      <c r="BA34" s="69"/>
      <c r="BB34" s="69">
        <f>32307.6923076923/4</f>
        <v>8076.9230769230753</v>
      </c>
      <c r="BC34" s="69">
        <f>16923.0769230769/4</f>
        <v>4230.769230769225</v>
      </c>
      <c r="BD34" s="69"/>
      <c r="BE34" s="69"/>
      <c r="BF34" s="69"/>
      <c r="BG34" s="69"/>
      <c r="BI34" s="68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  <c r="BV34" s="69"/>
    </row>
    <row r="35" spans="46:74" ht="31" customHeight="1" x14ac:dyDescent="0.15">
      <c r="AT35" s="68" t="s">
        <v>7</v>
      </c>
      <c r="AU35" s="69"/>
      <c r="AV35" s="69"/>
      <c r="AW35" s="69"/>
      <c r="AX35" s="69"/>
      <c r="AY35" s="69"/>
      <c r="AZ35" s="69"/>
      <c r="BA35" s="69"/>
      <c r="BB35" s="69"/>
      <c r="BC35" s="69">
        <f>20961.5384615385/4</f>
        <v>5240.3846153846252</v>
      </c>
      <c r="BD35" s="69">
        <f>18076.9230769231/4</f>
        <v>4519.230769230775</v>
      </c>
      <c r="BE35" s="69"/>
      <c r="BF35" s="69"/>
      <c r="BG35" s="69"/>
      <c r="BI35" s="68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U35" s="69"/>
      <c r="BV35" s="69"/>
    </row>
    <row r="36" spans="46:74" ht="31" customHeight="1" x14ac:dyDescent="0.15">
      <c r="AT36" s="68" t="s">
        <v>8</v>
      </c>
      <c r="AU36" s="69"/>
      <c r="AV36" s="69"/>
      <c r="AW36" s="69"/>
      <c r="AX36" s="69"/>
      <c r="AY36" s="69"/>
      <c r="AZ36" s="69"/>
      <c r="BA36" s="69"/>
      <c r="BB36" s="69"/>
      <c r="BC36" s="69"/>
      <c r="BD36" s="69">
        <f>80384.6153846154/4</f>
        <v>20096.153846153851</v>
      </c>
      <c r="BE36" s="69"/>
      <c r="BF36" s="69"/>
      <c r="BG36" s="69"/>
      <c r="BI36" s="68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</row>
    <row r="37" spans="46:74" ht="31" customHeight="1" x14ac:dyDescent="0.15">
      <c r="AT37" s="68" t="s">
        <v>9</v>
      </c>
      <c r="AU37" s="69"/>
      <c r="AV37" s="69"/>
      <c r="AW37" s="69"/>
      <c r="AX37" s="69"/>
      <c r="AY37" s="69"/>
      <c r="AZ37" s="69"/>
      <c r="BA37" s="69"/>
      <c r="BB37" s="69"/>
      <c r="BC37" s="69">
        <f>4615.38461538462/4</f>
        <v>1153.8461538461549</v>
      </c>
      <c r="BD37" s="69"/>
      <c r="BE37" s="69"/>
      <c r="BF37" s="69"/>
      <c r="BG37" s="69"/>
      <c r="BI37" s="68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</row>
    <row r="38" spans="46:74" ht="31" customHeight="1" x14ac:dyDescent="0.15">
      <c r="AT38" s="68" t="s">
        <v>10</v>
      </c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>
        <f>16923.0769230769/4</f>
        <v>4230.769230769225</v>
      </c>
      <c r="BG38" s="69">
        <f>26730.7692307692/4</f>
        <v>6682.6923076923003</v>
      </c>
      <c r="BI38" s="68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</row>
    <row r="39" spans="46:74" ht="31" customHeight="1" x14ac:dyDescent="0.15">
      <c r="AT39" s="68" t="s">
        <v>11</v>
      </c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>
        <f>26730.7692307692/4</f>
        <v>6682.6923076923003</v>
      </c>
      <c r="BF39" s="69"/>
      <c r="BG39" s="69">
        <f>45000/4</f>
        <v>11250</v>
      </c>
      <c r="BI39" s="68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</row>
    <row r="40" spans="46:74" ht="31" customHeight="1" x14ac:dyDescent="0.15">
      <c r="AT40" s="68" t="s">
        <v>12</v>
      </c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>
        <f>20000/4</f>
        <v>5000</v>
      </c>
      <c r="BG40" s="69"/>
      <c r="BI40" s="68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</row>
    <row r="53" spans="13:13" ht="31" customHeight="1" x14ac:dyDescent="0.15">
      <c r="M53" s="75"/>
    </row>
  </sheetData>
  <conditionalFormatting sqref="AU13:BG25">
    <cfRule type="colorScale" priority="24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AU28:BG40">
    <cfRule type="colorScale" priority="23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J14">
    <cfRule type="colorScale" priority="18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J25:BT25 BJ13 BM13:BV13 BK14 BJ15:BL15 BN14:BV14 BN15:BQ15 BJ16:BK16 BS15:BV16 BM16:BO16 BJ17:BN17 BR17:BV17 BJ18:BK18 BM18:BO18 BJ19:BM19 BP19 BS18:BV19 BJ20:BQ20 BJ21:BR21 BT20:BV21 BJ22:BQ22 BS22:BV22 BJ23:BT23 BJ24:BS24 BU24 BV25">
    <cfRule type="colorScale" priority="2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J28:BV40">
    <cfRule type="colorScale" priority="20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K13:BL13">
    <cfRule type="colorScale" priority="19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L16">
    <cfRule type="colorScale" priority="13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L18">
    <cfRule type="colorScale" priority="10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L14:BM14">
    <cfRule type="colorScale" priority="17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M15">
    <cfRule type="colorScale" priority="16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N19:BO19">
    <cfRule type="colorScale" priority="9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O17:BQ17">
    <cfRule type="colorScale" priority="1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P16:BR16">
    <cfRule type="colorScale" priority="14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P18:BR18">
    <cfRule type="colorScale" priority="1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Q19:BR19">
    <cfRule type="colorScale" priority="8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R15">
    <cfRule type="colorScale" priority="15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R22">
    <cfRule type="colorScale" priority="5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R20:BS20">
    <cfRule type="colorScale" priority="7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S21">
    <cfRule type="colorScale" priority="6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T24">
    <cfRule type="colorScale" priority="3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U25">
    <cfRule type="colorScale" priority="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U23:BV23">
    <cfRule type="colorScale" priority="4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V24">
    <cfRule type="colorScale" priority="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Y13:CK25">
    <cfRule type="colorScale" priority="2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03EA-E41D-194F-BFA1-E9317C72C57A}">
  <dimension ref="A2:CK53"/>
  <sheetViews>
    <sheetView topLeftCell="AG1" zoomScale="60" zoomScaleNormal="60" workbookViewId="0">
      <selection activeCell="AR12" sqref="AR11:AU12"/>
    </sheetView>
  </sheetViews>
  <sheetFormatPr baseColWidth="10" defaultColWidth="5.1640625" defaultRowHeight="31" customHeight="1" x14ac:dyDescent="0.15"/>
  <cols>
    <col min="1" max="23" width="5.1640625" style="61"/>
    <col min="24" max="40" width="5.33203125" style="61" bestFit="1" customWidth="1"/>
    <col min="41" max="46" width="5.1640625" style="61"/>
    <col min="47" max="47" width="7.83203125" style="61" bestFit="1" customWidth="1"/>
    <col min="48" max="59" width="6.1640625" style="61" bestFit="1" customWidth="1"/>
    <col min="60" max="62" width="5.1640625" style="61"/>
    <col min="63" max="63" width="7.83203125" style="61" bestFit="1" customWidth="1"/>
    <col min="64" max="64" width="5.1640625" style="61"/>
    <col min="65" max="65" width="10.1640625" style="61" bestFit="1" customWidth="1"/>
    <col min="66" max="76" width="5.1640625" style="61"/>
    <col min="77" max="77" width="8" style="61" bestFit="1" customWidth="1"/>
    <col min="78" max="16384" width="5.1640625" style="61"/>
  </cols>
  <sheetData>
    <row r="2" spans="1:89" ht="31" customHeight="1" x14ac:dyDescent="0.1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R2" s="60"/>
      <c r="S2" s="60"/>
      <c r="T2" s="60"/>
      <c r="U2" s="60"/>
      <c r="Z2" s="62"/>
      <c r="AC2" s="63"/>
      <c r="AD2" s="63"/>
      <c r="AE2" s="62"/>
      <c r="AF2" s="62"/>
      <c r="AG2" s="63"/>
      <c r="AH2" s="60"/>
      <c r="AI2" s="63" t="s">
        <v>60</v>
      </c>
      <c r="AJ2" s="63"/>
    </row>
    <row r="3" spans="1:89" ht="31" customHeight="1" x14ac:dyDescent="0.15"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R3" s="60"/>
      <c r="S3" s="60"/>
      <c r="T3" s="60"/>
      <c r="U3" s="60"/>
      <c r="Z3" s="62"/>
      <c r="AC3" s="63"/>
      <c r="AD3" s="63"/>
      <c r="AE3" s="62"/>
      <c r="AF3" s="62"/>
      <c r="AG3" s="63"/>
      <c r="AH3" s="60"/>
      <c r="AI3" s="63" t="s">
        <v>61</v>
      </c>
      <c r="AJ3" s="63"/>
    </row>
    <row r="4" spans="1:89" ht="31" customHeight="1" x14ac:dyDescent="0.15">
      <c r="R4" s="60"/>
      <c r="Z4" s="62"/>
      <c r="AC4" s="62"/>
      <c r="AD4" s="62"/>
      <c r="AE4" s="62"/>
      <c r="AF4" s="62"/>
      <c r="AG4" s="63"/>
      <c r="AI4" s="63" t="s">
        <v>62</v>
      </c>
      <c r="AJ4" s="62"/>
    </row>
    <row r="5" spans="1:89" ht="31" customHeight="1" x14ac:dyDescent="0.15">
      <c r="R5" s="60"/>
      <c r="Z5" s="62"/>
      <c r="AA5" s="63"/>
      <c r="AB5" s="62"/>
      <c r="AC5" s="62"/>
      <c r="AD5" s="62"/>
      <c r="AE5" s="62"/>
      <c r="AF5" s="62"/>
      <c r="AG5" s="63"/>
    </row>
    <row r="6" spans="1:89" ht="31" customHeight="1" x14ac:dyDescent="0.15">
      <c r="R6" s="60"/>
      <c r="Z6" s="62"/>
      <c r="AA6" s="63"/>
      <c r="AB6" s="62"/>
      <c r="AC6" s="62"/>
      <c r="AD6" s="62"/>
      <c r="AE6" s="62"/>
      <c r="AF6" s="62"/>
      <c r="AG6" s="63"/>
      <c r="AI6" s="63" t="s">
        <v>63</v>
      </c>
    </row>
    <row r="7" spans="1:89" ht="31" customHeight="1" x14ac:dyDescent="0.15">
      <c r="R7" s="60"/>
      <c r="AA7" s="60"/>
      <c r="AG7" s="60"/>
      <c r="AI7" s="63" t="s">
        <v>66</v>
      </c>
    </row>
    <row r="8" spans="1:89" ht="31" customHeight="1" x14ac:dyDescent="0.15">
      <c r="R8" s="60"/>
    </row>
    <row r="9" spans="1:89" ht="31" customHeight="1" x14ac:dyDescent="0.15">
      <c r="R9" s="60"/>
    </row>
    <row r="10" spans="1:89" ht="31" customHeight="1" x14ac:dyDescent="0.15">
      <c r="R10" s="60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</row>
    <row r="11" spans="1:89" ht="31" customHeight="1" x14ac:dyDescent="0.15">
      <c r="AT11" s="60" t="s">
        <v>79</v>
      </c>
      <c r="AU11" s="60"/>
      <c r="AV11" s="60"/>
      <c r="AW11" s="60"/>
      <c r="AX11" s="60"/>
      <c r="AY11" s="60"/>
      <c r="AZ11" s="60"/>
      <c r="BI11" s="60" t="s">
        <v>80</v>
      </c>
      <c r="BJ11" s="60"/>
      <c r="BK11" s="60"/>
      <c r="BL11" s="60"/>
      <c r="BM11" s="60"/>
      <c r="BN11" s="60"/>
      <c r="BO11" s="60"/>
      <c r="BX11" s="61" t="s">
        <v>81</v>
      </c>
    </row>
    <row r="12" spans="1:89" ht="31" customHeight="1" x14ac:dyDescent="0.15">
      <c r="W12" s="61" t="s">
        <v>82</v>
      </c>
      <c r="X12" s="61" t="s">
        <v>84</v>
      </c>
      <c r="AL12" s="65" t="s">
        <v>73</v>
      </c>
      <c r="AT12" s="66"/>
      <c r="AU12" s="67" t="s">
        <v>0</v>
      </c>
      <c r="AV12" s="67" t="s">
        <v>1</v>
      </c>
      <c r="AW12" s="67" t="s">
        <v>2</v>
      </c>
      <c r="AX12" s="67" t="s">
        <v>3</v>
      </c>
      <c r="AY12" s="67" t="s">
        <v>4</v>
      </c>
      <c r="AZ12" s="67" t="s">
        <v>5</v>
      </c>
      <c r="BA12" s="67" t="s">
        <v>6</v>
      </c>
      <c r="BB12" s="67" t="s">
        <v>7</v>
      </c>
      <c r="BC12" s="67" t="s">
        <v>8</v>
      </c>
      <c r="BD12" s="67" t="s">
        <v>9</v>
      </c>
      <c r="BE12" s="67" t="s">
        <v>10</v>
      </c>
      <c r="BF12" s="67" t="s">
        <v>11</v>
      </c>
      <c r="BG12" s="67" t="s">
        <v>12</v>
      </c>
      <c r="BI12" s="66"/>
      <c r="BJ12" s="67" t="s">
        <v>0</v>
      </c>
      <c r="BK12" s="67" t="s">
        <v>1</v>
      </c>
      <c r="BL12" s="67" t="s">
        <v>2</v>
      </c>
      <c r="BM12" s="67" t="s">
        <v>3</v>
      </c>
      <c r="BN12" s="67" t="s">
        <v>4</v>
      </c>
      <c r="BO12" s="67" t="s">
        <v>5</v>
      </c>
      <c r="BP12" s="67" t="s">
        <v>6</v>
      </c>
      <c r="BQ12" s="67" t="s">
        <v>7</v>
      </c>
      <c r="BR12" s="67" t="s">
        <v>8</v>
      </c>
      <c r="BS12" s="67" t="s">
        <v>9</v>
      </c>
      <c r="BT12" s="67" t="s">
        <v>10</v>
      </c>
      <c r="BU12" s="67" t="s">
        <v>11</v>
      </c>
      <c r="BV12" s="67" t="s">
        <v>12</v>
      </c>
      <c r="BX12" s="66"/>
      <c r="BY12" s="67" t="s">
        <v>0</v>
      </c>
      <c r="BZ12" s="67" t="s">
        <v>1</v>
      </c>
      <c r="CA12" s="67" t="s">
        <v>2</v>
      </c>
      <c r="CB12" s="67" t="s">
        <v>3</v>
      </c>
      <c r="CC12" s="67" t="s">
        <v>4</v>
      </c>
      <c r="CD12" s="67" t="s">
        <v>5</v>
      </c>
      <c r="CE12" s="67" t="s">
        <v>6</v>
      </c>
      <c r="CF12" s="67" t="s">
        <v>7</v>
      </c>
      <c r="CG12" s="67" t="s">
        <v>8</v>
      </c>
      <c r="CH12" s="67" t="s">
        <v>9</v>
      </c>
      <c r="CI12" s="67" t="s">
        <v>10</v>
      </c>
      <c r="CJ12" s="67" t="s">
        <v>11</v>
      </c>
      <c r="CK12" s="67" t="s">
        <v>12</v>
      </c>
    </row>
    <row r="13" spans="1:89" ht="31" customHeight="1" x14ac:dyDescent="0.15">
      <c r="AL13" s="76"/>
      <c r="AM13" s="77" t="s">
        <v>67</v>
      </c>
      <c r="AN13" s="77" t="s">
        <v>74</v>
      </c>
      <c r="AO13" s="76"/>
      <c r="AT13" s="68" t="s">
        <v>0</v>
      </c>
      <c r="AU13" s="69"/>
      <c r="AV13" s="69">
        <f>ABS(IF(AV28&gt;0,VLOOKUP(AV$12,$AL$14:$AM$26,2,FALSE)-VLOOKUP($AT13,$AL$14:$AM$26,2,FALSE),""))</f>
        <v>2.5</v>
      </c>
      <c r="AW13" s="69">
        <f t="shared" ref="AW13" si="0">ABS(IF(AW28&gt;0,VLOOKUP(AW$12,$AL$14:$AM$26,2,FALSE)-VLOOKUP($AT13,$AL$14:$AM$26,2,FALSE),""))</f>
        <v>0</v>
      </c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I13" s="68" t="s">
        <v>0</v>
      </c>
      <c r="BJ13" s="69"/>
      <c r="BK13" s="69">
        <f>ABS(IF(AV28&gt;0,VLOOKUP(BK$12,$AL$14:$AN$26,3,FALSE)-VLOOKUP($AT13,$AL$14:$AN$26,3,FALSE),""))</f>
        <v>0.5</v>
      </c>
      <c r="BL13" s="69">
        <f>ABS(IF(AW28&gt;0,VLOOKUP(BL$12,$AL$14:$AN$26,3,FALSE)-VLOOKUP($AT13,$AL$14:$AN$26,3,FALSE),""))</f>
        <v>1</v>
      </c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X13" s="68" t="s">
        <v>0</v>
      </c>
      <c r="BY13" s="69" t="str">
        <f>IF(SQRT(AU13^2+BJ13^2)=0,"",SQRT(AU13^2+BJ13^2))</f>
        <v/>
      </c>
      <c r="BZ13" s="69">
        <f>IF(SQRT(AV13^2+BK13^2)=0,"",SQRT(AV13^2+BK13^2))*10</f>
        <v>25.495097567963924</v>
      </c>
      <c r="CA13" s="69">
        <f>IF(SQRT(AW13^2+BL13^2)=0,"",SQRT(AW13^2+BL13^2))*10</f>
        <v>10</v>
      </c>
      <c r="CB13" s="69" t="str">
        <f t="shared" ref="CB13:CK25" si="1">IF(SQRT(AX13^2+BM13^2)=0,"",SQRT(AX13^2+BM13^2))</f>
        <v/>
      </c>
      <c r="CC13" s="69" t="str">
        <f t="shared" si="1"/>
        <v/>
      </c>
      <c r="CD13" s="69" t="str">
        <f t="shared" si="1"/>
        <v/>
      </c>
      <c r="CE13" s="69" t="str">
        <f t="shared" si="1"/>
        <v/>
      </c>
      <c r="CF13" s="69" t="str">
        <f t="shared" si="1"/>
        <v/>
      </c>
      <c r="CG13" s="69" t="str">
        <f t="shared" si="1"/>
        <v/>
      </c>
      <c r="CH13" s="69" t="str">
        <f t="shared" si="1"/>
        <v/>
      </c>
      <c r="CI13" s="69" t="str">
        <f t="shared" si="1"/>
        <v/>
      </c>
      <c r="CJ13" s="69" t="str">
        <f t="shared" si="1"/>
        <v/>
      </c>
      <c r="CK13" s="69" t="str">
        <f t="shared" si="1"/>
        <v/>
      </c>
    </row>
    <row r="14" spans="1:89" ht="31" customHeight="1" x14ac:dyDescent="0.15">
      <c r="O14" s="60"/>
      <c r="P14" s="64">
        <v>1</v>
      </c>
      <c r="Q14" s="64">
        <f>P14+1</f>
        <v>2</v>
      </c>
      <c r="R14" s="64">
        <f t="shared" ref="R14:AE14" si="2">Q14+1</f>
        <v>3</v>
      </c>
      <c r="S14" s="64">
        <f t="shared" si="2"/>
        <v>4</v>
      </c>
      <c r="T14" s="64">
        <f t="shared" si="2"/>
        <v>5</v>
      </c>
      <c r="U14" s="64">
        <f t="shared" si="2"/>
        <v>6</v>
      </c>
      <c r="V14" s="64">
        <f t="shared" si="2"/>
        <v>7</v>
      </c>
      <c r="W14" s="64">
        <f t="shared" si="2"/>
        <v>8</v>
      </c>
      <c r="X14" s="64">
        <f t="shared" si="2"/>
        <v>9</v>
      </c>
      <c r="Y14" s="64">
        <f t="shared" si="2"/>
        <v>10</v>
      </c>
      <c r="Z14" s="64">
        <f t="shared" si="2"/>
        <v>11</v>
      </c>
      <c r="AA14" s="64">
        <f t="shared" si="2"/>
        <v>12</v>
      </c>
      <c r="AB14" s="64">
        <f t="shared" si="2"/>
        <v>13</v>
      </c>
      <c r="AC14" s="64">
        <f t="shared" si="2"/>
        <v>14</v>
      </c>
      <c r="AD14" s="64">
        <f t="shared" si="2"/>
        <v>15</v>
      </c>
      <c r="AE14" s="64">
        <f t="shared" si="2"/>
        <v>16</v>
      </c>
      <c r="AF14" s="64"/>
      <c r="AG14" s="64"/>
      <c r="AH14" s="64"/>
      <c r="AI14" s="64"/>
      <c r="AJ14" s="64"/>
      <c r="AK14" s="64"/>
      <c r="AL14" s="78" t="s">
        <v>12</v>
      </c>
      <c r="AM14" s="72">
        <v>3</v>
      </c>
      <c r="AN14" s="72">
        <v>1.5</v>
      </c>
      <c r="AO14" s="72"/>
      <c r="AP14" s="72"/>
      <c r="AT14" s="68" t="s">
        <v>1</v>
      </c>
      <c r="AU14" s="69">
        <f t="shared" ref="AU14:BC15" si="3">ABS(IF(AU29&gt;0,VLOOKUP(AU$12,$AL$14:$AM$26,2,FALSE)-VLOOKUP($AT14,$AL$14:$AM$26,2,FALSE),""))</f>
        <v>2.5</v>
      </c>
      <c r="AV14" s="69"/>
      <c r="AW14" s="69">
        <f t="shared" si="3"/>
        <v>2.5</v>
      </c>
      <c r="AX14" s="69">
        <f t="shared" si="3"/>
        <v>5</v>
      </c>
      <c r="AY14" s="69"/>
      <c r="AZ14" s="69"/>
      <c r="BA14" s="69"/>
      <c r="BB14" s="69"/>
      <c r="BC14" s="69"/>
      <c r="BD14" s="69"/>
      <c r="BE14" s="69"/>
      <c r="BF14" s="69"/>
      <c r="BG14" s="69"/>
      <c r="BI14" s="68" t="s">
        <v>1</v>
      </c>
      <c r="BJ14" s="69">
        <f>ABS(IF(AU29&gt;0,VLOOKUP(BJ$12,$AL$14:$AN$26,3,FALSE)-VLOOKUP($AT14,$AL$14:$AN$26,3,FALSE),""))</f>
        <v>0.5</v>
      </c>
      <c r="BK14" s="69"/>
      <c r="BL14" s="69">
        <f t="shared" ref="BL14:BM14" si="4">ABS(IF(AW29&gt;0,VLOOKUP(BL$12,$AL$14:$AN$26,3,FALSE)-VLOOKUP($AT14,$AL$14:$AN$26,3,FALSE),""))</f>
        <v>0.5</v>
      </c>
      <c r="BM14" s="69">
        <f t="shared" si="4"/>
        <v>0.5</v>
      </c>
      <c r="BN14" s="69"/>
      <c r="BO14" s="69"/>
      <c r="BP14" s="69"/>
      <c r="BQ14" s="69"/>
      <c r="BR14" s="69"/>
      <c r="BS14" s="69"/>
      <c r="BT14" s="69"/>
      <c r="BU14" s="69"/>
      <c r="BV14" s="69"/>
      <c r="BX14" s="68" t="s">
        <v>1</v>
      </c>
      <c r="BY14" s="69">
        <f>IF(SQRT(AU14^2+BJ14^2)=0,"",SQRT(AU14^2+BJ14^2))*10</f>
        <v>25.495097567963924</v>
      </c>
      <c r="BZ14" s="69" t="str">
        <f t="shared" ref="BZ14:CA25" si="5">IF(SQRT(AV14^2+BK14^2)=0,"",SQRT(AV14^2+BK14^2))</f>
        <v/>
      </c>
      <c r="CA14" s="69">
        <f>IF(SQRT(AW14^2+BL14^2)=0,"",SQRT(AW14^2+BL14^2))*10</f>
        <v>25.495097567963924</v>
      </c>
      <c r="CB14" s="69">
        <f>IF(SQRT(AX14^2+BM14^2)=0,"",SQRT(AX14^2+BM14^2))*10</f>
        <v>50.24937810560445</v>
      </c>
      <c r="CC14" s="69" t="str">
        <f t="shared" si="1"/>
        <v/>
      </c>
      <c r="CD14" s="69" t="str">
        <f t="shared" si="1"/>
        <v/>
      </c>
      <c r="CE14" s="69" t="str">
        <f t="shared" si="1"/>
        <v/>
      </c>
      <c r="CF14" s="69" t="str">
        <f t="shared" si="1"/>
        <v/>
      </c>
      <c r="CG14" s="69" t="str">
        <f t="shared" si="1"/>
        <v/>
      </c>
      <c r="CH14" s="69" t="str">
        <f t="shared" si="1"/>
        <v/>
      </c>
      <c r="CI14" s="69" t="str">
        <f t="shared" si="1"/>
        <v/>
      </c>
      <c r="CJ14" s="69" t="str">
        <f t="shared" si="1"/>
        <v/>
      </c>
      <c r="CK14" s="69" t="str">
        <f t="shared" si="1"/>
        <v/>
      </c>
    </row>
    <row r="15" spans="1:89" ht="31" customHeight="1" x14ac:dyDescent="0.15">
      <c r="O15" s="61">
        <v>1</v>
      </c>
      <c r="AL15" s="78" t="s">
        <v>9</v>
      </c>
      <c r="AM15" s="72">
        <v>11</v>
      </c>
      <c r="AN15" s="72">
        <v>4</v>
      </c>
      <c r="AO15" s="72"/>
      <c r="AP15" s="72"/>
      <c r="AT15" s="68" t="s">
        <v>2</v>
      </c>
      <c r="AU15" s="69"/>
      <c r="AV15" s="69"/>
      <c r="AW15" s="69"/>
      <c r="AX15" s="69">
        <f t="shared" si="3"/>
        <v>2.5</v>
      </c>
      <c r="AY15" s="69"/>
      <c r="AZ15" s="69"/>
      <c r="BA15" s="69"/>
      <c r="BB15" s="69"/>
      <c r="BC15" s="69">
        <f t="shared" si="3"/>
        <v>2</v>
      </c>
      <c r="BD15" s="69"/>
      <c r="BE15" s="69"/>
      <c r="BF15" s="69"/>
      <c r="BG15" s="69"/>
      <c r="BI15" s="68" t="s">
        <v>2</v>
      </c>
      <c r="BJ15" s="69"/>
      <c r="BK15" s="69"/>
      <c r="BL15" s="69"/>
      <c r="BM15" s="69">
        <f>ABS(IF(AX30&gt;0,VLOOKUP(BM$12,$AL$14:$AN$26,3,FALSE)-VLOOKUP($AT15,$AL$14:$AN$26,3,FALSE),""))</f>
        <v>1</v>
      </c>
      <c r="BN15" s="69"/>
      <c r="BO15" s="69"/>
      <c r="BP15" s="69"/>
      <c r="BQ15" s="69"/>
      <c r="BR15" s="69">
        <f>ABS(IF(BC30&gt;0,VLOOKUP(BR$12,$AL$14:$AN$26,3,FALSE)-VLOOKUP($AT15,$AL$14:$AN$26,3,FALSE),""))</f>
        <v>4</v>
      </c>
      <c r="BS15" s="69"/>
      <c r="BT15" s="69"/>
      <c r="BU15" s="69"/>
      <c r="BV15" s="69"/>
      <c r="BX15" s="68" t="s">
        <v>2</v>
      </c>
      <c r="BY15" s="69" t="str">
        <f t="shared" ref="BY15:BY25" si="6">IF(SQRT(AU15^2+BJ15^2)=0,"",SQRT(AU15^2+BJ15^2))</f>
        <v/>
      </c>
      <c r="BZ15" s="69" t="str">
        <f t="shared" si="5"/>
        <v/>
      </c>
      <c r="CA15" s="69" t="str">
        <f t="shared" si="5"/>
        <v/>
      </c>
      <c r="CB15" s="69">
        <f>IF(SQRT(AX15^2+BM15^2)=0,"",SQRT(AX15^2+BM15^2))*10</f>
        <v>26.92582403567252</v>
      </c>
      <c r="CC15" s="69" t="str">
        <f t="shared" si="1"/>
        <v/>
      </c>
      <c r="CD15" s="69" t="str">
        <f t="shared" si="1"/>
        <v/>
      </c>
      <c r="CE15" s="69" t="str">
        <f t="shared" si="1"/>
        <v/>
      </c>
      <c r="CF15" s="69" t="str">
        <f t="shared" si="1"/>
        <v/>
      </c>
      <c r="CG15" s="69">
        <f>IF(SQRT(BC15^2+BR15^2)=0,"",SQRT(BC15^2+BR15^2))*10</f>
        <v>44.721359549995796</v>
      </c>
      <c r="CH15" s="69" t="str">
        <f t="shared" si="1"/>
        <v/>
      </c>
      <c r="CI15" s="69" t="str">
        <f t="shared" si="1"/>
        <v/>
      </c>
      <c r="CJ15" s="69" t="str">
        <f t="shared" si="1"/>
        <v/>
      </c>
      <c r="CK15" s="69" t="str">
        <f t="shared" si="1"/>
        <v/>
      </c>
    </row>
    <row r="16" spans="1:89" ht="31" customHeight="1" x14ac:dyDescent="0.15">
      <c r="O16" s="61">
        <f>O15+1</f>
        <v>2</v>
      </c>
      <c r="AL16" s="78" t="s">
        <v>3</v>
      </c>
      <c r="AM16" s="72">
        <v>8.5</v>
      </c>
      <c r="AN16" s="72">
        <v>12.5</v>
      </c>
      <c r="AO16" s="72"/>
      <c r="AP16" s="72"/>
      <c r="AT16" s="68" t="s">
        <v>3</v>
      </c>
      <c r="AU16" s="69"/>
      <c r="AV16" s="69"/>
      <c r="AW16" s="69">
        <f t="shared" ref="AW16:BC16" si="7">ABS(IF(AW31&gt;0,VLOOKUP(AW$12,$AL$14:$AM$26,2,FALSE)-VLOOKUP($AT16,$AL$14:$AM$26,2,FALSE),""))</f>
        <v>2.5</v>
      </c>
      <c r="AX16" s="69"/>
      <c r="AY16" s="69"/>
      <c r="AZ16" s="69"/>
      <c r="BA16" s="69">
        <f>ABS(IF(BA31&gt;0,VLOOKUP(BA$12,$AL$14:$AM$26,2,FALSE)-VLOOKUP($AT16,$AL$14:$AM$26,2,FALSE),""))</f>
        <v>4.5</v>
      </c>
      <c r="BB16" s="69">
        <f t="shared" si="7"/>
        <v>1</v>
      </c>
      <c r="BC16" s="69">
        <f t="shared" si="7"/>
        <v>0.5</v>
      </c>
      <c r="BD16" s="69"/>
      <c r="BE16" s="69"/>
      <c r="BF16" s="69"/>
      <c r="BG16" s="69"/>
      <c r="BI16" s="68" t="s">
        <v>3</v>
      </c>
      <c r="BJ16" s="69"/>
      <c r="BK16" s="69"/>
      <c r="BL16" s="69">
        <f>ABS(IF(AW31&gt;0,VLOOKUP(BL$12,$AL$14:$AN$26,3,FALSE)-VLOOKUP($AT16,$AL$14:$AN$26,3,FALSE),""))</f>
        <v>1</v>
      </c>
      <c r="BM16" s="69"/>
      <c r="BN16" s="69"/>
      <c r="BO16" s="69"/>
      <c r="BP16" s="69">
        <f>ABS(IF(BA31&gt;0,VLOOKUP(BP$12,$AL$14:$AN$26,3,FALSE)-VLOOKUP($AT16,$AL$14:$AN$26,3,FALSE),""))</f>
        <v>4</v>
      </c>
      <c r="BQ16" s="69">
        <f t="shared" ref="BQ16:BR16" si="8">ABS(IF(BB31&gt;0,VLOOKUP(BQ$12,$AL$14:$AN$26,3,FALSE)-VLOOKUP($AT16,$AL$14:$AN$26,3,FALSE),""))</f>
        <v>7.5</v>
      </c>
      <c r="BR16" s="69">
        <f t="shared" si="8"/>
        <v>3</v>
      </c>
      <c r="BS16" s="69"/>
      <c r="BT16" s="69"/>
      <c r="BU16" s="69"/>
      <c r="BV16" s="69"/>
      <c r="BX16" s="68" t="s">
        <v>3</v>
      </c>
      <c r="BY16" s="69" t="str">
        <f t="shared" si="6"/>
        <v/>
      </c>
      <c r="BZ16" s="69" t="str">
        <f t="shared" si="5"/>
        <v/>
      </c>
      <c r="CA16" s="69">
        <f>IF(SQRT(AW16^2+BL16^2)=0,"",SQRT(AW16^2+BL16^2))*10</f>
        <v>26.92582403567252</v>
      </c>
      <c r="CB16" s="69" t="str">
        <f t="shared" ref="CB16:CB25" si="9">IF(SQRT(AX16^2+BM16^2)=0,"",SQRT(AX16^2+BM16^2))</f>
        <v/>
      </c>
      <c r="CC16" s="69" t="str">
        <f t="shared" si="1"/>
        <v/>
      </c>
      <c r="CD16" s="69" t="str">
        <f t="shared" si="1"/>
        <v/>
      </c>
      <c r="CE16" s="69">
        <f>IF(SQRT(BA16^2+BP16^2)=0,"",SQRT(BA16^2+BP16^2))*10</f>
        <v>60.207972893961482</v>
      </c>
      <c r="CF16" s="69">
        <f>IF(SQRT(BB16^2+BQ16^2)=0,"",SQRT(BB16^2+BQ16^2))*10</f>
        <v>75.663729752107784</v>
      </c>
      <c r="CG16" s="69">
        <f>IF(SQRT(BC16^2+BR16^2)=0,"",SQRT(BC16^2+BR16^2))*10</f>
        <v>30.413812651491096</v>
      </c>
      <c r="CH16" s="69" t="str">
        <f t="shared" si="1"/>
        <v/>
      </c>
      <c r="CI16" s="69" t="str">
        <f t="shared" si="1"/>
        <v/>
      </c>
      <c r="CJ16" s="69" t="str">
        <f t="shared" si="1"/>
        <v/>
      </c>
      <c r="CK16" s="69" t="str">
        <f t="shared" si="1"/>
        <v/>
      </c>
    </row>
    <row r="17" spans="15:89" ht="31" customHeight="1" x14ac:dyDescent="0.15">
      <c r="O17" s="61">
        <f t="shared" ref="O17:O28" si="10">O16+1</f>
        <v>3</v>
      </c>
      <c r="AL17" s="78" t="s">
        <v>1</v>
      </c>
      <c r="AM17" s="72">
        <v>13.5</v>
      </c>
      <c r="AN17" s="72">
        <v>13</v>
      </c>
      <c r="AO17" s="72"/>
      <c r="AP17" s="72"/>
      <c r="AT17" s="68" t="s">
        <v>4</v>
      </c>
      <c r="AU17" s="69"/>
      <c r="AV17" s="69"/>
      <c r="AW17" s="69"/>
      <c r="AX17" s="69"/>
      <c r="AY17" s="69"/>
      <c r="AZ17" s="69">
        <f t="shared" ref="AZ17:BB17" si="11">ABS(IF(AZ32&gt;0,VLOOKUP(AZ$12,$AL$14:$AM$26,2,FALSE)-VLOOKUP($AT17,$AL$14:$AM$26,2,FALSE),""))</f>
        <v>9</v>
      </c>
      <c r="BA17" s="69">
        <f t="shared" si="11"/>
        <v>2</v>
      </c>
      <c r="BB17" s="69">
        <f t="shared" si="11"/>
        <v>5.5</v>
      </c>
      <c r="BC17" s="69"/>
      <c r="BD17" s="69"/>
      <c r="BE17" s="69"/>
      <c r="BF17" s="69"/>
      <c r="BG17" s="69"/>
      <c r="BI17" s="68" t="s">
        <v>4</v>
      </c>
      <c r="BJ17" s="69"/>
      <c r="BK17" s="69"/>
      <c r="BL17" s="69"/>
      <c r="BM17" s="69"/>
      <c r="BN17" s="69"/>
      <c r="BO17" s="69">
        <f t="shared" ref="BO17:BS20" si="12">ABS(IF(AZ32&gt;0,VLOOKUP(BO$12,$AL$14:$AN$26,3,FALSE)-VLOOKUP($AT17,$AL$14:$AN$26,3,FALSE),""))</f>
        <v>1.5</v>
      </c>
      <c r="BP17" s="69">
        <f t="shared" si="12"/>
        <v>1</v>
      </c>
      <c r="BQ17" s="69">
        <f t="shared" si="12"/>
        <v>2.5</v>
      </c>
      <c r="BR17" s="69"/>
      <c r="BS17" s="69"/>
      <c r="BT17" s="69"/>
      <c r="BU17" s="69"/>
      <c r="BV17" s="69"/>
      <c r="BX17" s="68" t="s">
        <v>4</v>
      </c>
      <c r="BY17" s="69" t="str">
        <f t="shared" si="6"/>
        <v/>
      </c>
      <c r="BZ17" s="69" t="str">
        <f t="shared" si="5"/>
        <v/>
      </c>
      <c r="CA17" s="69" t="str">
        <f t="shared" si="5"/>
        <v/>
      </c>
      <c r="CB17" s="69" t="str">
        <f t="shared" si="9"/>
        <v/>
      </c>
      <c r="CC17" s="69" t="str">
        <f t="shared" si="1"/>
        <v/>
      </c>
      <c r="CD17" s="69">
        <f>IF(SQRT(AZ17^2+BO17^2)=0,"",SQRT(AZ17^2+BO17^2))*10</f>
        <v>91.241437954473298</v>
      </c>
      <c r="CE17" s="69">
        <f t="shared" ref="CE17:CG18" si="13">IF(SQRT(BA17^2+BP17^2)=0,"",SQRT(BA17^2+BP17^2))*10</f>
        <v>22.360679774997898</v>
      </c>
      <c r="CF17" s="69">
        <f t="shared" si="13"/>
        <v>60.415229867972862</v>
      </c>
      <c r="CG17" s="69" t="str">
        <f t="shared" si="1"/>
        <v/>
      </c>
      <c r="CH17" s="69" t="str">
        <f t="shared" si="1"/>
        <v/>
      </c>
      <c r="CI17" s="69" t="str">
        <f t="shared" si="1"/>
        <v/>
      </c>
      <c r="CJ17" s="69" t="str">
        <f t="shared" si="1"/>
        <v/>
      </c>
      <c r="CK17" s="69" t="str">
        <f t="shared" si="1"/>
        <v/>
      </c>
    </row>
    <row r="18" spans="15:89" ht="31" customHeight="1" x14ac:dyDescent="0.15">
      <c r="O18" s="61">
        <f t="shared" si="10"/>
        <v>4</v>
      </c>
      <c r="AL18" s="78" t="s">
        <v>11</v>
      </c>
      <c r="AM18" s="72">
        <v>8</v>
      </c>
      <c r="AN18" s="72">
        <v>4</v>
      </c>
      <c r="AO18" s="72"/>
      <c r="AP18" s="72"/>
      <c r="AT18" s="68" t="s">
        <v>5</v>
      </c>
      <c r="AU18" s="69"/>
      <c r="AV18" s="69"/>
      <c r="AW18" s="69">
        <f t="shared" ref="AW18:BC18" si="14">ABS(IF(AW33&gt;0,VLOOKUP(AW$12,$AL$14:$AM$26,2,FALSE)-VLOOKUP($AT18,$AL$14:$AM$26,2,FALSE),""))</f>
        <v>0</v>
      </c>
      <c r="AX18" s="69"/>
      <c r="AY18" s="69"/>
      <c r="AZ18" s="69"/>
      <c r="BA18" s="69">
        <f t="shared" si="14"/>
        <v>7</v>
      </c>
      <c r="BB18" s="69">
        <f t="shared" si="14"/>
        <v>3.5</v>
      </c>
      <c r="BC18" s="69">
        <f t="shared" si="14"/>
        <v>2</v>
      </c>
      <c r="BD18" s="69"/>
      <c r="BE18" s="69"/>
      <c r="BF18" s="69"/>
      <c r="BG18" s="69"/>
      <c r="BI18" s="68" t="s">
        <v>5</v>
      </c>
      <c r="BJ18" s="69"/>
      <c r="BK18" s="69"/>
      <c r="BL18" s="69">
        <f>ABS(IF(AW33&gt;0,VLOOKUP(BL$12,$AL$14:$AN$26,3,FALSE)-VLOOKUP($AT18,$AL$14:$AN$26,3,FALSE),""))</f>
        <v>7.5</v>
      </c>
      <c r="BM18" s="69"/>
      <c r="BN18" s="69"/>
      <c r="BO18" s="69"/>
      <c r="BP18" s="69">
        <f t="shared" si="12"/>
        <v>2.5</v>
      </c>
      <c r="BQ18" s="69">
        <f t="shared" si="12"/>
        <v>1</v>
      </c>
      <c r="BR18" s="69">
        <f t="shared" si="12"/>
        <v>3.5</v>
      </c>
      <c r="BS18" s="69"/>
      <c r="BT18" s="69"/>
      <c r="BU18" s="69"/>
      <c r="BV18" s="69"/>
      <c r="BX18" s="68" t="s">
        <v>5</v>
      </c>
      <c r="BY18" s="69" t="str">
        <f t="shared" si="6"/>
        <v/>
      </c>
      <c r="BZ18" s="69" t="str">
        <f t="shared" si="5"/>
        <v/>
      </c>
      <c r="CA18" s="69">
        <f>IF(SQRT(AW18^2+BL18^2)=0,"",SQRT(AW18^2+BL18^2))*10</f>
        <v>75</v>
      </c>
      <c r="CB18" s="69" t="str">
        <f t="shared" si="9"/>
        <v/>
      </c>
      <c r="CC18" s="69" t="str">
        <f t="shared" si="1"/>
        <v/>
      </c>
      <c r="CD18" s="69" t="str">
        <f t="shared" si="1"/>
        <v/>
      </c>
      <c r="CE18" s="69">
        <f>IF(SQRT(BA18^2+BP18^2)=0,"",SQRT(BA18^2+BP18^2))*10</f>
        <v>74.330343736592525</v>
      </c>
      <c r="CF18" s="69">
        <f t="shared" si="13"/>
        <v>36.400549446402593</v>
      </c>
      <c r="CG18" s="69">
        <f t="shared" si="13"/>
        <v>40.311288741492746</v>
      </c>
      <c r="CH18" s="69" t="str">
        <f t="shared" si="1"/>
        <v/>
      </c>
      <c r="CI18" s="69" t="str">
        <f t="shared" si="1"/>
        <v/>
      </c>
      <c r="CJ18" s="69" t="str">
        <f t="shared" si="1"/>
        <v/>
      </c>
      <c r="CK18" s="69" t="str">
        <f t="shared" si="1"/>
        <v/>
      </c>
    </row>
    <row r="19" spans="15:89" ht="31" customHeight="1" x14ac:dyDescent="0.15">
      <c r="O19" s="61">
        <f t="shared" si="10"/>
        <v>5</v>
      </c>
      <c r="AL19" s="78" t="s">
        <v>7</v>
      </c>
      <c r="AM19" s="72">
        <v>7.5</v>
      </c>
      <c r="AN19" s="72">
        <v>5</v>
      </c>
      <c r="AO19" s="72"/>
      <c r="AP19" s="72"/>
      <c r="AT19" s="68" t="s">
        <v>6</v>
      </c>
      <c r="AU19" s="69"/>
      <c r="AV19" s="69"/>
      <c r="AW19" s="69"/>
      <c r="AX19" s="69"/>
      <c r="AY19" s="69">
        <f t="shared" ref="AY19:BD21" si="15">ABS(IF(AY34&gt;0,VLOOKUP(AY$12,$AL$14:$AM$26,2,FALSE)-VLOOKUP($AT19,$AL$14:$AM$26,2,FALSE),""))</f>
        <v>2</v>
      </c>
      <c r="AZ19" s="69">
        <f t="shared" si="15"/>
        <v>7</v>
      </c>
      <c r="BA19" s="69"/>
      <c r="BB19" s="69">
        <f t="shared" si="15"/>
        <v>3.5</v>
      </c>
      <c r="BC19" s="69">
        <f t="shared" si="15"/>
        <v>5</v>
      </c>
      <c r="BD19" s="69"/>
      <c r="BE19" s="69"/>
      <c r="BF19" s="69"/>
      <c r="BG19" s="69"/>
      <c r="BI19" s="68" t="s">
        <v>6</v>
      </c>
      <c r="BJ19" s="69"/>
      <c r="BK19" s="69"/>
      <c r="BL19" s="69"/>
      <c r="BM19" s="69"/>
      <c r="BN19" s="69">
        <f t="shared" ref="BN19:BO19" si="16">ABS(IF(AY34&gt;0,VLOOKUP(BN$12,$AL$14:$AN$26,3,FALSE)-VLOOKUP($AT19,$AL$14:$AN$26,3,FALSE),""))</f>
        <v>1</v>
      </c>
      <c r="BO19" s="69">
        <f t="shared" si="16"/>
        <v>2.5</v>
      </c>
      <c r="BP19" s="69"/>
      <c r="BQ19" s="69">
        <f t="shared" si="12"/>
        <v>3.5</v>
      </c>
      <c r="BR19" s="69">
        <f t="shared" si="12"/>
        <v>1</v>
      </c>
      <c r="BS19" s="69"/>
      <c r="BT19" s="69"/>
      <c r="BU19" s="69"/>
      <c r="BV19" s="69"/>
      <c r="BX19" s="68" t="s">
        <v>6</v>
      </c>
      <c r="BY19" s="69" t="str">
        <f t="shared" si="6"/>
        <v/>
      </c>
      <c r="BZ19" s="69" t="str">
        <f t="shared" si="5"/>
        <v/>
      </c>
      <c r="CA19" s="69" t="str">
        <f t="shared" si="5"/>
        <v/>
      </c>
      <c r="CB19" s="69" t="str">
        <f t="shared" si="9"/>
        <v/>
      </c>
      <c r="CC19" s="69">
        <f>IF(SQRT(AY19^2+BN19^2)=0,"",SQRT(AY19^2+BN19^2))*10</f>
        <v>22.360679774997898</v>
      </c>
      <c r="CD19" s="69">
        <f>IF(SQRT(AZ19^2+BO19^2)=0,"",SQRT(AZ19^2+BO19^2))*10</f>
        <v>74.330343736592525</v>
      </c>
      <c r="CE19" s="69" t="str">
        <f t="shared" si="1"/>
        <v/>
      </c>
      <c r="CF19" s="69">
        <f t="shared" si="1"/>
        <v>4.9497474683058327</v>
      </c>
      <c r="CG19" s="69">
        <f>IF(SQRT(BC19^2+BR19^2)=0,"",SQRT(BC19^2+BR19^2))*10</f>
        <v>50.990195135927848</v>
      </c>
      <c r="CH19" s="69" t="str">
        <f t="shared" si="1"/>
        <v/>
      </c>
      <c r="CI19" s="69" t="str">
        <f t="shared" si="1"/>
        <v/>
      </c>
      <c r="CJ19" s="69" t="str">
        <f t="shared" si="1"/>
        <v/>
      </c>
      <c r="CK19" s="69" t="str">
        <f t="shared" si="1"/>
        <v/>
      </c>
    </row>
    <row r="20" spans="15:89" ht="31" customHeight="1" x14ac:dyDescent="0.15">
      <c r="O20" s="61">
        <f t="shared" si="10"/>
        <v>6</v>
      </c>
      <c r="AL20" s="78" t="s">
        <v>8</v>
      </c>
      <c r="AM20" s="72">
        <v>9</v>
      </c>
      <c r="AN20" s="72">
        <v>9.5</v>
      </c>
      <c r="AO20" s="72"/>
      <c r="AP20" s="72"/>
      <c r="AT20" s="68" t="s">
        <v>7</v>
      </c>
      <c r="AU20" s="69"/>
      <c r="AV20" s="69"/>
      <c r="AW20" s="69"/>
      <c r="AX20" s="69"/>
      <c r="AY20" s="69"/>
      <c r="AZ20" s="69"/>
      <c r="BA20" s="69"/>
      <c r="BB20" s="69"/>
      <c r="BC20" s="69">
        <f t="shared" si="15"/>
        <v>1.5</v>
      </c>
      <c r="BD20" s="69">
        <f t="shared" si="15"/>
        <v>3.5</v>
      </c>
      <c r="BE20" s="69"/>
      <c r="BF20" s="69"/>
      <c r="BG20" s="69"/>
      <c r="BI20" s="68" t="s">
        <v>7</v>
      </c>
      <c r="BJ20" s="69"/>
      <c r="BK20" s="69"/>
      <c r="BL20" s="69"/>
      <c r="BM20" s="69"/>
      <c r="BN20" s="69"/>
      <c r="BO20" s="69"/>
      <c r="BP20" s="69"/>
      <c r="BQ20" s="69"/>
      <c r="BR20" s="69">
        <f t="shared" si="12"/>
        <v>4.5</v>
      </c>
      <c r="BS20" s="69">
        <f t="shared" si="12"/>
        <v>1</v>
      </c>
      <c r="BT20" s="69"/>
      <c r="BU20" s="69"/>
      <c r="BV20" s="69"/>
      <c r="BX20" s="68" t="s">
        <v>7</v>
      </c>
      <c r="BY20" s="69" t="str">
        <f t="shared" si="6"/>
        <v/>
      </c>
      <c r="BZ20" s="69" t="str">
        <f t="shared" si="5"/>
        <v/>
      </c>
      <c r="CA20" s="69" t="str">
        <f t="shared" si="5"/>
        <v/>
      </c>
      <c r="CB20" s="69" t="str">
        <f t="shared" si="9"/>
        <v/>
      </c>
      <c r="CC20" s="69" t="str">
        <f t="shared" si="1"/>
        <v/>
      </c>
      <c r="CD20" s="69" t="str">
        <f t="shared" si="1"/>
        <v/>
      </c>
      <c r="CE20" s="69" t="str">
        <f t="shared" si="1"/>
        <v/>
      </c>
      <c r="CF20" s="69" t="str">
        <f t="shared" si="1"/>
        <v/>
      </c>
      <c r="CG20" s="69">
        <f>IF(SQRT(BC20^2+BR20^2)=0,"",SQRT(BC20^2+BR20^2))*10</f>
        <v>47.434164902525694</v>
      </c>
      <c r="CH20" s="69">
        <f>IF(SQRT(BD20^2+BS20^2)=0,"",SQRT(BD20^2+BS20^2))*10</f>
        <v>36.400549446402593</v>
      </c>
      <c r="CI20" s="69" t="str">
        <f t="shared" si="1"/>
        <v/>
      </c>
      <c r="CJ20" s="69" t="str">
        <f t="shared" si="1"/>
        <v/>
      </c>
      <c r="CK20" s="69" t="str">
        <f t="shared" si="1"/>
        <v/>
      </c>
    </row>
    <row r="21" spans="15:89" ht="31" customHeight="1" x14ac:dyDescent="0.15">
      <c r="O21" s="61">
        <f t="shared" si="10"/>
        <v>7</v>
      </c>
      <c r="AL21" s="78" t="s">
        <v>5</v>
      </c>
      <c r="AM21" s="72">
        <v>11</v>
      </c>
      <c r="AN21" s="72">
        <v>6</v>
      </c>
      <c r="AO21" s="72"/>
      <c r="AP21" s="72"/>
      <c r="AT21" s="68" t="s">
        <v>8</v>
      </c>
      <c r="AU21" s="69"/>
      <c r="AV21" s="69"/>
      <c r="AW21" s="69"/>
      <c r="AX21" s="69"/>
      <c r="AY21" s="69"/>
      <c r="AZ21" s="69"/>
      <c r="BA21" s="69"/>
      <c r="BB21" s="69"/>
      <c r="BC21" s="69"/>
      <c r="BD21" s="69">
        <f t="shared" si="15"/>
        <v>2</v>
      </c>
      <c r="BE21" s="69"/>
      <c r="BF21" s="69"/>
      <c r="BG21" s="69"/>
      <c r="BI21" s="68" t="s">
        <v>8</v>
      </c>
      <c r="BJ21" s="69"/>
      <c r="BK21" s="69"/>
      <c r="BL21" s="69"/>
      <c r="BM21" s="69"/>
      <c r="BN21" s="69"/>
      <c r="BO21" s="69"/>
      <c r="BP21" s="69"/>
      <c r="BQ21" s="69"/>
      <c r="BR21" s="69"/>
      <c r="BS21" s="69">
        <f>ABS(IF(BD36&gt;0,VLOOKUP(BS$12,$AL$14:$AN$26,3,FALSE)-VLOOKUP($AT21,$AL$14:$AN$26,3,FALSE),""))</f>
        <v>5.5</v>
      </c>
      <c r="BT21" s="69"/>
      <c r="BU21" s="69"/>
      <c r="BV21" s="69"/>
      <c r="BX21" s="68" t="s">
        <v>8</v>
      </c>
      <c r="BY21" s="69" t="str">
        <f t="shared" si="6"/>
        <v/>
      </c>
      <c r="BZ21" s="69" t="str">
        <f t="shared" si="5"/>
        <v/>
      </c>
      <c r="CA21" s="69" t="str">
        <f t="shared" si="5"/>
        <v/>
      </c>
      <c r="CB21" s="69" t="str">
        <f t="shared" si="9"/>
        <v/>
      </c>
      <c r="CC21" s="69" t="str">
        <f t="shared" si="1"/>
        <v/>
      </c>
      <c r="CD21" s="69" t="str">
        <f t="shared" si="1"/>
        <v/>
      </c>
      <c r="CE21" s="69" t="str">
        <f t="shared" si="1"/>
        <v/>
      </c>
      <c r="CF21" s="69" t="str">
        <f t="shared" si="1"/>
        <v/>
      </c>
      <c r="CG21" s="69" t="str">
        <f t="shared" si="1"/>
        <v/>
      </c>
      <c r="CH21" s="69">
        <f>IF(SQRT(BD21^2+BS21^2)=0,"",SQRT(BD21^2+BS21^2))*10</f>
        <v>58.523499553598128</v>
      </c>
      <c r="CI21" s="69" t="str">
        <f t="shared" si="1"/>
        <v/>
      </c>
      <c r="CJ21" s="69" t="str">
        <f t="shared" si="1"/>
        <v/>
      </c>
      <c r="CK21" s="69" t="str">
        <f t="shared" si="1"/>
        <v/>
      </c>
    </row>
    <row r="22" spans="15:89" ht="31" customHeight="1" x14ac:dyDescent="0.15">
      <c r="O22" s="61">
        <f t="shared" si="10"/>
        <v>8</v>
      </c>
      <c r="AL22" s="78" t="s">
        <v>4</v>
      </c>
      <c r="AM22" s="72">
        <v>2</v>
      </c>
      <c r="AN22" s="72">
        <v>7.5</v>
      </c>
      <c r="AO22" s="72"/>
      <c r="AP22" s="72"/>
      <c r="AT22" s="68" t="s">
        <v>9</v>
      </c>
      <c r="AU22" s="69"/>
      <c r="AV22" s="69"/>
      <c r="AW22" s="69"/>
      <c r="AX22" s="69"/>
      <c r="AY22" s="69"/>
      <c r="AZ22" s="69"/>
      <c r="BA22" s="69"/>
      <c r="BB22" s="69"/>
      <c r="BC22" s="69">
        <f t="shared" ref="BC22" si="17">ABS(IF(BC37&gt;0,VLOOKUP(BC$12,$AL$14:$AM$26,2,FALSE)-VLOOKUP($AT22,$AL$14:$AM$26,2,FALSE),""))</f>
        <v>2</v>
      </c>
      <c r="BD22" s="69"/>
      <c r="BE22" s="69"/>
      <c r="BF22" s="69"/>
      <c r="BG22" s="69"/>
      <c r="BI22" s="68" t="s">
        <v>9</v>
      </c>
      <c r="BJ22" s="69"/>
      <c r="BK22" s="69"/>
      <c r="BL22" s="69"/>
      <c r="BM22" s="69"/>
      <c r="BN22" s="69"/>
      <c r="BO22" s="69"/>
      <c r="BP22" s="69"/>
      <c r="BQ22" s="69"/>
      <c r="BR22" s="69">
        <f>ABS(IF(BC37&gt;0,VLOOKUP(BR$12,$AL$14:$AN$26,3,FALSE)-VLOOKUP($AT22,$AL$14:$AN$26,3,FALSE),""))</f>
        <v>5.5</v>
      </c>
      <c r="BS22" s="69"/>
      <c r="BT22" s="69"/>
      <c r="BU22" s="69"/>
      <c r="BV22" s="69"/>
      <c r="BX22" s="68" t="s">
        <v>9</v>
      </c>
      <c r="BY22" s="69" t="str">
        <f t="shared" si="6"/>
        <v/>
      </c>
      <c r="BZ22" s="69" t="str">
        <f t="shared" si="5"/>
        <v/>
      </c>
      <c r="CA22" s="69" t="str">
        <f t="shared" si="5"/>
        <v/>
      </c>
      <c r="CB22" s="69" t="str">
        <f t="shared" si="9"/>
        <v/>
      </c>
      <c r="CC22" s="69" t="str">
        <f t="shared" si="1"/>
        <v/>
      </c>
      <c r="CD22" s="69" t="str">
        <f t="shared" si="1"/>
        <v/>
      </c>
      <c r="CE22" s="69" t="str">
        <f t="shared" si="1"/>
        <v/>
      </c>
      <c r="CF22" s="69" t="str">
        <f t="shared" si="1"/>
        <v/>
      </c>
      <c r="CG22" s="69">
        <f>IF(SQRT(BC22^2+BR22^2)=0,"",SQRT(BC22^2+BR22^2))*10</f>
        <v>58.523499553598128</v>
      </c>
      <c r="CH22" s="69" t="str">
        <f t="shared" si="1"/>
        <v/>
      </c>
      <c r="CI22" s="69" t="str">
        <f t="shared" si="1"/>
        <v/>
      </c>
      <c r="CJ22" s="69" t="str">
        <f t="shared" si="1"/>
        <v/>
      </c>
      <c r="CK22" s="69" t="str">
        <f t="shared" si="1"/>
        <v/>
      </c>
    </row>
    <row r="23" spans="15:89" ht="31" customHeight="1" x14ac:dyDescent="0.15">
      <c r="O23" s="61">
        <f t="shared" si="10"/>
        <v>9</v>
      </c>
      <c r="AL23" s="78" t="s">
        <v>0</v>
      </c>
      <c r="AM23" s="72">
        <v>11</v>
      </c>
      <c r="AN23" s="72">
        <v>12.5</v>
      </c>
      <c r="AO23" s="72"/>
      <c r="AP23" s="72"/>
      <c r="AT23" s="68" t="s">
        <v>10</v>
      </c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>
        <f t="shared" ref="BF23:BG23" si="18">ABS(IF(BF38&gt;0,VLOOKUP(BF$12,$AL$14:$AM$26,2,FALSE)-VLOOKUP($AT23,$AL$14:$AM$26,2,FALSE),""))</f>
        <v>1</v>
      </c>
      <c r="BG23" s="69">
        <f t="shared" si="18"/>
        <v>4</v>
      </c>
      <c r="BI23" s="68" t="s">
        <v>10</v>
      </c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>
        <f t="shared" ref="BU23:BV23" si="19">ABS(IF(BF38&gt;0,VLOOKUP(BU$12,$AL$14:$AN$26,3,FALSE)-VLOOKUP($AT23,$AL$14:$AN$26,3,FALSE),""))</f>
        <v>2</v>
      </c>
      <c r="BV23" s="69">
        <f t="shared" si="19"/>
        <v>0.5</v>
      </c>
      <c r="BX23" s="68" t="s">
        <v>10</v>
      </c>
      <c r="BY23" s="69" t="str">
        <f t="shared" si="6"/>
        <v/>
      </c>
      <c r="BZ23" s="69" t="str">
        <f t="shared" si="5"/>
        <v/>
      </c>
      <c r="CA23" s="69" t="str">
        <f t="shared" si="5"/>
        <v/>
      </c>
      <c r="CB23" s="69" t="str">
        <f t="shared" si="9"/>
        <v/>
      </c>
      <c r="CC23" s="69" t="str">
        <f t="shared" si="1"/>
        <v/>
      </c>
      <c r="CD23" s="69" t="str">
        <f t="shared" si="1"/>
        <v/>
      </c>
      <c r="CE23" s="69" t="str">
        <f t="shared" si="1"/>
        <v/>
      </c>
      <c r="CF23" s="69" t="str">
        <f t="shared" si="1"/>
        <v/>
      </c>
      <c r="CG23" s="69" t="str">
        <f t="shared" si="1"/>
        <v/>
      </c>
      <c r="CH23" s="69" t="str">
        <f t="shared" si="1"/>
        <v/>
      </c>
      <c r="CI23" s="69" t="str">
        <f t="shared" si="1"/>
        <v/>
      </c>
      <c r="CJ23" s="69">
        <f>IF(SQRT(BF23^2+BU23^2)=0,"",SQRT(BF23^2+BU23^2))*10</f>
        <v>22.360679774997898</v>
      </c>
      <c r="CK23" s="69">
        <f>IF(SQRT(BG23^2+BV23^2)=0,"",SQRT(BG23^2+BV23^2))*10</f>
        <v>40.311288741492746</v>
      </c>
    </row>
    <row r="24" spans="15:89" ht="31" customHeight="1" x14ac:dyDescent="0.15">
      <c r="O24" s="61">
        <f t="shared" si="10"/>
        <v>10</v>
      </c>
      <c r="AL24" s="78" t="s">
        <v>6</v>
      </c>
      <c r="AM24" s="72">
        <v>4</v>
      </c>
      <c r="AN24" s="72">
        <v>8.5</v>
      </c>
      <c r="AO24" s="72"/>
      <c r="AP24" s="72"/>
      <c r="AT24" s="68" t="s">
        <v>11</v>
      </c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>
        <f t="shared" ref="BE24:BG24" si="20">ABS(IF(BE39&gt;0,VLOOKUP(BE$12,$AL$14:$AM$26,2,FALSE)-VLOOKUP($AT24,$AL$14:$AM$26,2,FALSE),""))</f>
        <v>1</v>
      </c>
      <c r="BF24" s="69"/>
      <c r="BG24" s="69">
        <f t="shared" si="20"/>
        <v>5</v>
      </c>
      <c r="BI24" s="68" t="s">
        <v>11</v>
      </c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>
        <f>ABS(IF(BE39&gt;0,VLOOKUP(BT$12,$AL$14:$AN$26,3,FALSE)-VLOOKUP($AT24,$AL$14:$AN$26,3,FALSE),""))</f>
        <v>2</v>
      </c>
      <c r="BU24" s="69"/>
      <c r="BV24" s="69">
        <f>ABS(IF(BG39&gt;0,VLOOKUP(BV$12,$AL$14:$AN$26,3,FALSE)-VLOOKUP($AT24,$AL$14:$AN$26,3,FALSE),""))</f>
        <v>2.5</v>
      </c>
      <c r="BX24" s="68" t="s">
        <v>11</v>
      </c>
      <c r="BY24" s="69" t="str">
        <f t="shared" si="6"/>
        <v/>
      </c>
      <c r="BZ24" s="69" t="str">
        <f t="shared" si="5"/>
        <v/>
      </c>
      <c r="CA24" s="69" t="str">
        <f t="shared" si="5"/>
        <v/>
      </c>
      <c r="CB24" s="69" t="str">
        <f t="shared" si="9"/>
        <v/>
      </c>
      <c r="CC24" s="69" t="str">
        <f t="shared" si="1"/>
        <v/>
      </c>
      <c r="CD24" s="69" t="str">
        <f t="shared" si="1"/>
        <v/>
      </c>
      <c r="CE24" s="69" t="str">
        <f t="shared" si="1"/>
        <v/>
      </c>
      <c r="CF24" s="69" t="str">
        <f t="shared" si="1"/>
        <v/>
      </c>
      <c r="CG24" s="69" t="str">
        <f t="shared" si="1"/>
        <v/>
      </c>
      <c r="CH24" s="69" t="str">
        <f t="shared" si="1"/>
        <v/>
      </c>
      <c r="CI24" s="69">
        <f>IF(SQRT(BE24^2+BT24^2)=0,"",SQRT(BE24^2+BT24^2))*10</f>
        <v>22.360679774997898</v>
      </c>
      <c r="CJ24" s="69" t="str">
        <f t="shared" si="1"/>
        <v/>
      </c>
      <c r="CK24" s="69">
        <f>IF(SQRT(BG24^2+BV24^2)=0,"",SQRT(BG24^2+BV24^2))*10</f>
        <v>55.901699437494742</v>
      </c>
    </row>
    <row r="25" spans="15:89" ht="31" customHeight="1" x14ac:dyDescent="0.15">
      <c r="O25" s="61">
        <f t="shared" si="10"/>
        <v>11</v>
      </c>
      <c r="AL25" s="78" t="s">
        <v>2</v>
      </c>
      <c r="AM25" s="72">
        <v>11</v>
      </c>
      <c r="AN25" s="72">
        <v>13.5</v>
      </c>
      <c r="AO25" s="72"/>
      <c r="AP25" s="72"/>
      <c r="AT25" s="68" t="s">
        <v>12</v>
      </c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>
        <f t="shared" ref="BF25" si="21">ABS(IF(BF40&gt;0,VLOOKUP(BF$12,$AL$14:$AM$26,2,FALSE)-VLOOKUP($AT25,$AL$14:$AM$26,2,FALSE),""))</f>
        <v>5</v>
      </c>
      <c r="BG25" s="69"/>
      <c r="BI25" s="68" t="s">
        <v>12</v>
      </c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>
        <f>ABS(IF(BF40&gt;0,VLOOKUP(BU$12,$AL$14:$AN$26,3,FALSE)-VLOOKUP($AT25,$AL$14:$AN$26,3,FALSE),""))</f>
        <v>2.5</v>
      </c>
      <c r="BV25" s="69"/>
      <c r="BX25" s="68" t="s">
        <v>12</v>
      </c>
      <c r="BY25" s="69" t="str">
        <f t="shared" si="6"/>
        <v/>
      </c>
      <c r="BZ25" s="69" t="str">
        <f t="shared" si="5"/>
        <v/>
      </c>
      <c r="CA25" s="69" t="str">
        <f t="shared" si="5"/>
        <v/>
      </c>
      <c r="CB25" s="69" t="str">
        <f t="shared" si="9"/>
        <v/>
      </c>
      <c r="CC25" s="69" t="str">
        <f t="shared" si="1"/>
        <v/>
      </c>
      <c r="CD25" s="69" t="str">
        <f t="shared" si="1"/>
        <v/>
      </c>
      <c r="CE25" s="69" t="str">
        <f t="shared" si="1"/>
        <v/>
      </c>
      <c r="CF25" s="69" t="str">
        <f t="shared" si="1"/>
        <v/>
      </c>
      <c r="CG25" s="69" t="str">
        <f t="shared" si="1"/>
        <v/>
      </c>
      <c r="CH25" s="69" t="str">
        <f t="shared" si="1"/>
        <v/>
      </c>
      <c r="CI25" s="69" t="str">
        <f t="shared" si="1"/>
        <v/>
      </c>
      <c r="CJ25" s="69">
        <f>IF(SQRT(BF25^2+BU25^2)=0,"",SQRT(BF25^2+BU25^2))*10</f>
        <v>55.901699437494742</v>
      </c>
      <c r="CK25" s="69" t="str">
        <f t="shared" si="1"/>
        <v/>
      </c>
    </row>
    <row r="26" spans="15:89" ht="31" customHeight="1" x14ac:dyDescent="0.15">
      <c r="O26" s="61">
        <f t="shared" si="10"/>
        <v>12</v>
      </c>
      <c r="AL26" s="78" t="s">
        <v>10</v>
      </c>
      <c r="AM26" s="72">
        <v>7</v>
      </c>
      <c r="AN26" s="72">
        <v>2</v>
      </c>
      <c r="AO26" s="72"/>
      <c r="AP26" s="72"/>
      <c r="AT26" s="61" t="s">
        <v>76</v>
      </c>
    </row>
    <row r="27" spans="15:89" ht="31" customHeight="1" x14ac:dyDescent="0.15">
      <c r="O27" s="61">
        <f t="shared" si="10"/>
        <v>13</v>
      </c>
      <c r="AT27" s="66"/>
      <c r="AU27" s="67" t="s">
        <v>0</v>
      </c>
      <c r="AV27" s="67" t="s">
        <v>1</v>
      </c>
      <c r="AW27" s="67" t="s">
        <v>2</v>
      </c>
      <c r="AX27" s="67" t="s">
        <v>3</v>
      </c>
      <c r="AY27" s="67" t="s">
        <v>4</v>
      </c>
      <c r="AZ27" s="67" t="s">
        <v>5</v>
      </c>
      <c r="BA27" s="67" t="s">
        <v>6</v>
      </c>
      <c r="BB27" s="67" t="s">
        <v>7</v>
      </c>
      <c r="BC27" s="67" t="s">
        <v>8</v>
      </c>
      <c r="BD27" s="67" t="s">
        <v>9</v>
      </c>
      <c r="BE27" s="67" t="s">
        <v>10</v>
      </c>
      <c r="BF27" s="67" t="s">
        <v>11</v>
      </c>
      <c r="BG27" s="67" t="s">
        <v>12</v>
      </c>
      <c r="BI27" s="66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</row>
    <row r="28" spans="15:89" ht="31" customHeight="1" x14ac:dyDescent="0.15">
      <c r="O28" s="61">
        <f t="shared" si="10"/>
        <v>14</v>
      </c>
      <c r="AT28" s="68" t="s">
        <v>0</v>
      </c>
      <c r="AU28" s="69"/>
      <c r="AV28" s="69">
        <f>34230.7692307692/4</f>
        <v>8557.6923076922994</v>
      </c>
      <c r="AW28" s="69">
        <f>11153.8461538462/4</f>
        <v>2788.4615384615499</v>
      </c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I28" s="68"/>
      <c r="BJ28" s="69" t="s">
        <v>68</v>
      </c>
      <c r="BK28" s="69"/>
      <c r="BL28" s="69"/>
      <c r="BM28" s="73">
        <f>SUMPRODUCT(AU28:BG40,BY13:CK25)</f>
        <v>8212185.3992749881</v>
      </c>
      <c r="BN28" s="69"/>
      <c r="BO28" s="69"/>
      <c r="BP28" s="69"/>
      <c r="BQ28" s="69"/>
      <c r="BR28" s="69"/>
      <c r="BS28" s="69"/>
      <c r="BT28" s="69"/>
      <c r="BU28" s="69"/>
      <c r="BV28" s="69"/>
    </row>
    <row r="29" spans="15:89" ht="31" customHeight="1" x14ac:dyDescent="0.15">
      <c r="AT29" s="68" t="s">
        <v>1</v>
      </c>
      <c r="AU29" s="69">
        <f>20961.5384615385/4</f>
        <v>5240.3846153846252</v>
      </c>
      <c r="AV29" s="69"/>
      <c r="AW29" s="69">
        <f>31923.0769230769/4</f>
        <v>7980.769230769225</v>
      </c>
      <c r="AX29" s="69">
        <f>15384.6153846154/4</f>
        <v>3846.1538461538498</v>
      </c>
      <c r="AY29" s="69"/>
      <c r="AZ29" s="69"/>
      <c r="BA29" s="69"/>
      <c r="BB29" s="69"/>
      <c r="BC29" s="69"/>
      <c r="BD29" s="69"/>
      <c r="BE29" s="69"/>
      <c r="BF29" s="69"/>
      <c r="BG29" s="69"/>
      <c r="BI29" s="68"/>
      <c r="BJ29" s="69" t="s">
        <v>75</v>
      </c>
      <c r="BK29" s="69"/>
      <c r="BL29" s="69"/>
      <c r="BM29" s="69">
        <f>SUM(AU28:BG40)</f>
        <v>188749.99999999994</v>
      </c>
      <c r="BN29" s="69"/>
      <c r="BO29" s="69"/>
      <c r="BP29" s="69"/>
      <c r="BQ29" s="69"/>
      <c r="BR29" s="69"/>
      <c r="BS29" s="69"/>
      <c r="BT29" s="69"/>
      <c r="BU29" s="69"/>
      <c r="BV29" s="69"/>
    </row>
    <row r="30" spans="15:89" ht="31" customHeight="1" x14ac:dyDescent="0.15">
      <c r="AT30" s="68" t="s">
        <v>2</v>
      </c>
      <c r="AU30" s="69"/>
      <c r="AV30" s="69"/>
      <c r="AW30" s="69"/>
      <c r="AX30" s="69">
        <f>56923.0769230769/4</f>
        <v>14230.769230769225</v>
      </c>
      <c r="AY30" s="69"/>
      <c r="AZ30" s="69"/>
      <c r="BA30" s="69"/>
      <c r="BB30" s="69"/>
      <c r="BC30" s="69">
        <f>6153.84615384615/4</f>
        <v>1538.4615384615374</v>
      </c>
      <c r="BD30" s="69"/>
      <c r="BE30" s="69"/>
      <c r="BF30" s="69"/>
      <c r="BG30" s="69"/>
      <c r="BI30" s="68"/>
      <c r="BJ30" s="69" t="s">
        <v>69</v>
      </c>
      <c r="BK30" s="69"/>
      <c r="BL30" s="69"/>
      <c r="BM30" s="74">
        <f>BM28/BM29</f>
        <v>43.508267016026437</v>
      </c>
      <c r="BN30" s="69"/>
      <c r="BO30" s="69"/>
      <c r="BP30" s="69"/>
      <c r="BQ30" s="69"/>
      <c r="BR30" s="69"/>
      <c r="BS30" s="69"/>
      <c r="BT30" s="69"/>
      <c r="BU30" s="69"/>
      <c r="BV30" s="69"/>
    </row>
    <row r="31" spans="15:89" ht="31" customHeight="1" x14ac:dyDescent="0.15">
      <c r="AT31" s="68" t="s">
        <v>3</v>
      </c>
      <c r="AU31" s="69"/>
      <c r="AV31" s="69"/>
      <c r="AW31" s="69">
        <f>6153.84615384615/4</f>
        <v>1538.4615384615374</v>
      </c>
      <c r="AX31" s="69"/>
      <c r="AY31" s="69"/>
      <c r="AZ31" s="69"/>
      <c r="BA31" s="69">
        <f>9230.76923076923/4</f>
        <v>2307.6923076923076</v>
      </c>
      <c r="BB31" s="69">
        <f>15192.3076923077/4</f>
        <v>3798.0769230769251</v>
      </c>
      <c r="BC31" s="69">
        <f>41730.7692307692/4</f>
        <v>10432.692307692299</v>
      </c>
      <c r="BD31" s="69"/>
      <c r="BE31" s="69"/>
      <c r="BF31" s="69"/>
      <c r="BG31" s="69"/>
      <c r="BI31" s="68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</row>
    <row r="32" spans="15:89" ht="31" customHeight="1" x14ac:dyDescent="0.15">
      <c r="AT32" s="68" t="s">
        <v>4</v>
      </c>
      <c r="AU32" s="69"/>
      <c r="AV32" s="69"/>
      <c r="AW32" s="69"/>
      <c r="AX32" s="69"/>
      <c r="AY32" s="69"/>
      <c r="AZ32" s="69">
        <f>41538.4615384615/4</f>
        <v>10384.615384615376</v>
      </c>
      <c r="BA32" s="69">
        <f>37307.6923076923/4</f>
        <v>9326.9230769230744</v>
      </c>
      <c r="BB32" s="69">
        <f>4615.38461538462/4</f>
        <v>1153.8461538461549</v>
      </c>
      <c r="BC32" s="69"/>
      <c r="BD32" s="69"/>
      <c r="BE32" s="69"/>
      <c r="BF32" s="69"/>
      <c r="BG32" s="69"/>
      <c r="BI32" s="68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</row>
    <row r="33" spans="46:74" ht="31" customHeight="1" x14ac:dyDescent="0.15">
      <c r="AT33" s="68" t="s">
        <v>5</v>
      </c>
      <c r="AU33" s="69"/>
      <c r="AV33" s="69"/>
      <c r="AW33" s="69">
        <f>13846.1538461538/4</f>
        <v>3461.5384615384501</v>
      </c>
      <c r="AX33" s="69"/>
      <c r="AY33" s="69"/>
      <c r="AZ33" s="69"/>
      <c r="BA33" s="69">
        <f>36923.0769230769/4</f>
        <v>9230.769230769225</v>
      </c>
      <c r="BB33" s="69">
        <f>14230.7692307692/4</f>
        <v>3557.6923076922999</v>
      </c>
      <c r="BC33" s="69">
        <f>14615.3846153846/4</f>
        <v>3653.8461538461502</v>
      </c>
      <c r="BD33" s="69"/>
      <c r="BE33" s="69"/>
      <c r="BF33" s="69"/>
      <c r="BG33" s="69"/>
      <c r="BI33" s="68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</row>
    <row r="34" spans="46:74" ht="31" customHeight="1" x14ac:dyDescent="0.15">
      <c r="AT34" s="68" t="s">
        <v>6</v>
      </c>
      <c r="AU34" s="69"/>
      <c r="AV34" s="69"/>
      <c r="AW34" s="69"/>
      <c r="AX34" s="69"/>
      <c r="AY34" s="69">
        <f>16923.0769230769/4</f>
        <v>4230.769230769225</v>
      </c>
      <c r="AZ34" s="69">
        <f>17307.6923076923/4</f>
        <v>4326.9230769230753</v>
      </c>
      <c r="BA34" s="69"/>
      <c r="BB34" s="69">
        <f>32307.6923076923/4</f>
        <v>8076.9230769230753</v>
      </c>
      <c r="BC34" s="69">
        <f>16923.0769230769/4</f>
        <v>4230.769230769225</v>
      </c>
      <c r="BD34" s="69"/>
      <c r="BE34" s="69"/>
      <c r="BF34" s="69"/>
      <c r="BG34" s="69"/>
      <c r="BI34" s="68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  <c r="BV34" s="69"/>
    </row>
    <row r="35" spans="46:74" ht="31" customHeight="1" x14ac:dyDescent="0.15">
      <c r="AT35" s="68" t="s">
        <v>7</v>
      </c>
      <c r="AU35" s="69"/>
      <c r="AV35" s="69"/>
      <c r="AW35" s="69"/>
      <c r="AX35" s="69"/>
      <c r="AY35" s="69"/>
      <c r="AZ35" s="69"/>
      <c r="BA35" s="69"/>
      <c r="BB35" s="69"/>
      <c r="BC35" s="69">
        <f>20961.5384615385/4</f>
        <v>5240.3846153846252</v>
      </c>
      <c r="BD35" s="69">
        <f>18076.9230769231/4</f>
        <v>4519.230769230775</v>
      </c>
      <c r="BE35" s="69"/>
      <c r="BF35" s="69"/>
      <c r="BG35" s="69"/>
      <c r="BI35" s="68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U35" s="69"/>
      <c r="BV35" s="69"/>
    </row>
    <row r="36" spans="46:74" ht="31" customHeight="1" x14ac:dyDescent="0.15">
      <c r="AT36" s="68" t="s">
        <v>8</v>
      </c>
      <c r="AU36" s="69"/>
      <c r="AV36" s="69"/>
      <c r="AW36" s="69"/>
      <c r="AX36" s="69"/>
      <c r="AY36" s="69"/>
      <c r="AZ36" s="69"/>
      <c r="BA36" s="69"/>
      <c r="BB36" s="69"/>
      <c r="BC36" s="69"/>
      <c r="BD36" s="69">
        <f>80384.6153846154/4</f>
        <v>20096.153846153851</v>
      </c>
      <c r="BE36" s="69"/>
      <c r="BF36" s="69"/>
      <c r="BG36" s="69"/>
      <c r="BI36" s="68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</row>
    <row r="37" spans="46:74" ht="31" customHeight="1" x14ac:dyDescent="0.15">
      <c r="AT37" s="68" t="s">
        <v>9</v>
      </c>
      <c r="AU37" s="69"/>
      <c r="AV37" s="69"/>
      <c r="AW37" s="69"/>
      <c r="AX37" s="69"/>
      <c r="AY37" s="69"/>
      <c r="AZ37" s="69"/>
      <c r="BA37" s="69"/>
      <c r="BB37" s="69"/>
      <c r="BC37" s="69">
        <f>4615.38461538462/4</f>
        <v>1153.8461538461549</v>
      </c>
      <c r="BD37" s="69"/>
      <c r="BE37" s="69"/>
      <c r="BF37" s="69"/>
      <c r="BG37" s="69"/>
      <c r="BI37" s="68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</row>
    <row r="38" spans="46:74" ht="31" customHeight="1" x14ac:dyDescent="0.15">
      <c r="AT38" s="68" t="s">
        <v>10</v>
      </c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>
        <f>16923.0769230769/4</f>
        <v>4230.769230769225</v>
      </c>
      <c r="BG38" s="69">
        <f>26730.7692307692/4</f>
        <v>6682.6923076923003</v>
      </c>
      <c r="BI38" s="68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</row>
    <row r="39" spans="46:74" ht="31" customHeight="1" x14ac:dyDescent="0.15">
      <c r="AT39" s="68" t="s">
        <v>11</v>
      </c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>
        <f>26730.7692307692/4</f>
        <v>6682.6923076923003</v>
      </c>
      <c r="BF39" s="69"/>
      <c r="BG39" s="69">
        <f>45000/4</f>
        <v>11250</v>
      </c>
      <c r="BI39" s="68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</row>
    <row r="40" spans="46:74" ht="31" customHeight="1" x14ac:dyDescent="0.15">
      <c r="AT40" s="68" t="s">
        <v>12</v>
      </c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>
        <f>20000/4</f>
        <v>5000</v>
      </c>
      <c r="BG40" s="69"/>
      <c r="BI40" s="68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</row>
    <row r="53" spans="13:13" ht="31" customHeight="1" x14ac:dyDescent="0.15">
      <c r="M53" s="75"/>
    </row>
  </sheetData>
  <conditionalFormatting sqref="AU13:BG25">
    <cfRule type="colorScale" priority="24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AU28:BG40">
    <cfRule type="colorScale" priority="23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J14">
    <cfRule type="colorScale" priority="18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J25:BT25 BJ13 BM13:BV13 BK14 BJ15:BL15 BN14:BV14 BN15:BQ15 BJ16:BK16 BS15:BV16 BM16:BO16 BJ17:BN17 BR17:BV17 BJ18:BK18 BM18:BO18 BJ19:BM19 BP19 BS18:BV19 BJ20:BQ20 BJ21:BR21 BT20:BV21 BJ22:BQ22 BS22:BV22 BJ23:BT23 BJ24:BS24 BU24 BV25">
    <cfRule type="colorScale" priority="2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J28:BV40">
    <cfRule type="colorScale" priority="20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K13:BL13">
    <cfRule type="colorScale" priority="19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L16">
    <cfRule type="colorScale" priority="13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L18">
    <cfRule type="colorScale" priority="10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L14:BM14">
    <cfRule type="colorScale" priority="17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M15">
    <cfRule type="colorScale" priority="16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N19:BO19">
    <cfRule type="colorScale" priority="9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O17:BQ17">
    <cfRule type="colorScale" priority="1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P16:BR16">
    <cfRule type="colorScale" priority="14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P18:BR18">
    <cfRule type="colorScale" priority="1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Q19:BR19">
    <cfRule type="colorScale" priority="8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R15">
    <cfRule type="colorScale" priority="15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R22">
    <cfRule type="colorScale" priority="5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R20:BS20">
    <cfRule type="colorScale" priority="7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S21">
    <cfRule type="colorScale" priority="6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T24">
    <cfRule type="colorScale" priority="3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U25">
    <cfRule type="colorScale" priority="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U23:BV23">
    <cfRule type="colorScale" priority="4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V24">
    <cfRule type="colorScale" priority="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Y13:CK25">
    <cfRule type="colorScale" priority="2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1D54-215E-EB4E-BC56-F1D08121FEBB}">
  <dimension ref="A2:CK53"/>
  <sheetViews>
    <sheetView topLeftCell="A12" zoomScale="106" zoomScaleNormal="74" workbookViewId="0">
      <selection activeCell="AH21" sqref="AH21"/>
    </sheetView>
  </sheetViews>
  <sheetFormatPr baseColWidth="10" defaultColWidth="5.1640625" defaultRowHeight="31" customHeight="1" x14ac:dyDescent="0.15"/>
  <cols>
    <col min="1" max="23" width="5.1640625" style="61"/>
    <col min="24" max="40" width="5.33203125" style="61" bestFit="1" customWidth="1"/>
    <col min="41" max="46" width="5.1640625" style="61"/>
    <col min="47" max="47" width="7.83203125" style="61" bestFit="1" customWidth="1"/>
    <col min="48" max="59" width="6.1640625" style="61" bestFit="1" customWidth="1"/>
    <col min="60" max="62" width="5.1640625" style="61"/>
    <col min="63" max="63" width="7.83203125" style="61" bestFit="1" customWidth="1"/>
    <col min="64" max="64" width="5.1640625" style="61"/>
    <col min="65" max="65" width="10.1640625" style="61" bestFit="1" customWidth="1"/>
    <col min="66" max="76" width="5.1640625" style="61"/>
    <col min="77" max="77" width="8" style="61" bestFit="1" customWidth="1"/>
    <col min="78" max="16384" width="5.1640625" style="61"/>
  </cols>
  <sheetData>
    <row r="2" spans="1:89" ht="31" customHeight="1" x14ac:dyDescent="0.1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R2" s="60"/>
      <c r="S2" s="60"/>
      <c r="T2" s="60"/>
      <c r="U2" s="60"/>
      <c r="Z2" s="62"/>
      <c r="AC2" s="63"/>
      <c r="AD2" s="63"/>
      <c r="AE2" s="62"/>
      <c r="AF2" s="62"/>
      <c r="AG2" s="63"/>
      <c r="AH2" s="60"/>
      <c r="AI2" s="63" t="s">
        <v>60</v>
      </c>
      <c r="AJ2" s="63"/>
    </row>
    <row r="3" spans="1:89" ht="31" customHeight="1" x14ac:dyDescent="0.15"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R3" s="60"/>
      <c r="S3" s="60"/>
      <c r="T3" s="60"/>
      <c r="U3" s="60"/>
      <c r="Z3" s="62"/>
      <c r="AC3" s="63"/>
      <c r="AD3" s="63"/>
      <c r="AE3" s="62"/>
      <c r="AF3" s="62"/>
      <c r="AG3" s="63"/>
      <c r="AH3" s="60"/>
      <c r="AI3" s="63" t="s">
        <v>61</v>
      </c>
      <c r="AJ3" s="63"/>
    </row>
    <row r="4" spans="1:89" ht="31" customHeight="1" x14ac:dyDescent="0.15">
      <c r="R4" s="60"/>
      <c r="Z4" s="62"/>
      <c r="AC4" s="62"/>
      <c r="AD4" s="62"/>
      <c r="AE4" s="62"/>
      <c r="AF4" s="62"/>
      <c r="AG4" s="63"/>
      <c r="AI4" s="63" t="s">
        <v>62</v>
      </c>
      <c r="AJ4" s="62"/>
    </row>
    <row r="5" spans="1:89" ht="31" customHeight="1" x14ac:dyDescent="0.15">
      <c r="R5" s="60"/>
      <c r="Z5" s="62"/>
      <c r="AA5" s="63"/>
      <c r="AB5" s="62"/>
      <c r="AC5" s="62"/>
      <c r="AD5" s="62"/>
      <c r="AE5" s="62"/>
      <c r="AF5" s="62"/>
      <c r="AG5" s="63"/>
    </row>
    <row r="6" spans="1:89" ht="31" customHeight="1" x14ac:dyDescent="0.15">
      <c r="R6" s="60"/>
      <c r="Z6" s="62"/>
      <c r="AA6" s="63"/>
      <c r="AB6" s="62"/>
      <c r="AC6" s="62"/>
      <c r="AD6" s="62"/>
      <c r="AE6" s="62"/>
      <c r="AF6" s="62"/>
      <c r="AG6" s="63"/>
      <c r="AI6" s="63" t="s">
        <v>63</v>
      </c>
    </row>
    <row r="7" spans="1:89" ht="31" customHeight="1" x14ac:dyDescent="0.15">
      <c r="R7" s="60"/>
      <c r="AA7" s="60"/>
      <c r="AG7" s="60"/>
      <c r="AI7" s="63" t="s">
        <v>66</v>
      </c>
    </row>
    <row r="8" spans="1:89" ht="31" customHeight="1" x14ac:dyDescent="0.15">
      <c r="R8" s="60"/>
    </row>
    <row r="9" spans="1:89" ht="31" customHeight="1" x14ac:dyDescent="0.15">
      <c r="R9" s="60"/>
    </row>
    <row r="10" spans="1:89" ht="31" customHeight="1" x14ac:dyDescent="0.15">
      <c r="R10" s="60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</row>
    <row r="11" spans="1:89" ht="31" customHeight="1" x14ac:dyDescent="0.15">
      <c r="AT11" s="60" t="s">
        <v>79</v>
      </c>
      <c r="AU11" s="60"/>
      <c r="AV11" s="60"/>
      <c r="AW11" s="60"/>
      <c r="AX11" s="60"/>
      <c r="AY11" s="60"/>
      <c r="AZ11" s="60"/>
      <c r="BI11" s="60" t="s">
        <v>80</v>
      </c>
      <c r="BJ11" s="60"/>
      <c r="BK11" s="60"/>
      <c r="BL11" s="60"/>
      <c r="BM11" s="60"/>
      <c r="BN11" s="60"/>
      <c r="BO11" s="60"/>
      <c r="BX11" s="61" t="s">
        <v>81</v>
      </c>
    </row>
    <row r="12" spans="1:89" ht="31" customHeight="1" x14ac:dyDescent="0.15">
      <c r="W12" s="61" t="s">
        <v>82</v>
      </c>
      <c r="X12" s="61" t="s">
        <v>84</v>
      </c>
      <c r="AL12" s="65" t="s">
        <v>73</v>
      </c>
      <c r="AT12" s="66"/>
      <c r="AU12" s="67" t="s">
        <v>0</v>
      </c>
      <c r="AV12" s="67" t="s">
        <v>1</v>
      </c>
      <c r="AW12" s="67" t="s">
        <v>2</v>
      </c>
      <c r="AX12" s="67" t="s">
        <v>3</v>
      </c>
      <c r="AY12" s="67" t="s">
        <v>4</v>
      </c>
      <c r="AZ12" s="67" t="s">
        <v>5</v>
      </c>
      <c r="BA12" s="67" t="s">
        <v>6</v>
      </c>
      <c r="BB12" s="67" t="s">
        <v>7</v>
      </c>
      <c r="BC12" s="67" t="s">
        <v>8</v>
      </c>
      <c r="BD12" s="67" t="s">
        <v>9</v>
      </c>
      <c r="BE12" s="67" t="s">
        <v>10</v>
      </c>
      <c r="BF12" s="67" t="s">
        <v>11</v>
      </c>
      <c r="BG12" s="67" t="s">
        <v>12</v>
      </c>
      <c r="BI12" s="66"/>
      <c r="BJ12" s="67" t="s">
        <v>0</v>
      </c>
      <c r="BK12" s="67" t="s">
        <v>1</v>
      </c>
      <c r="BL12" s="67" t="s">
        <v>2</v>
      </c>
      <c r="BM12" s="67" t="s">
        <v>3</v>
      </c>
      <c r="BN12" s="67" t="s">
        <v>4</v>
      </c>
      <c r="BO12" s="67" t="s">
        <v>5</v>
      </c>
      <c r="BP12" s="67" t="s">
        <v>6</v>
      </c>
      <c r="BQ12" s="67" t="s">
        <v>7</v>
      </c>
      <c r="BR12" s="67" t="s">
        <v>8</v>
      </c>
      <c r="BS12" s="67" t="s">
        <v>9</v>
      </c>
      <c r="BT12" s="67" t="s">
        <v>10</v>
      </c>
      <c r="BU12" s="67" t="s">
        <v>11</v>
      </c>
      <c r="BV12" s="67" t="s">
        <v>12</v>
      </c>
      <c r="BX12" s="66"/>
      <c r="BY12" s="67" t="s">
        <v>0</v>
      </c>
      <c r="BZ12" s="67" t="s">
        <v>1</v>
      </c>
      <c r="CA12" s="67" t="s">
        <v>2</v>
      </c>
      <c r="CB12" s="67" t="s">
        <v>3</v>
      </c>
      <c r="CC12" s="67" t="s">
        <v>4</v>
      </c>
      <c r="CD12" s="67" t="s">
        <v>5</v>
      </c>
      <c r="CE12" s="67" t="s">
        <v>6</v>
      </c>
      <c r="CF12" s="67" t="s">
        <v>7</v>
      </c>
      <c r="CG12" s="67" t="s">
        <v>8</v>
      </c>
      <c r="CH12" s="67" t="s">
        <v>9</v>
      </c>
      <c r="CI12" s="67" t="s">
        <v>10</v>
      </c>
      <c r="CJ12" s="67" t="s">
        <v>11</v>
      </c>
      <c r="CK12" s="67" t="s">
        <v>12</v>
      </c>
    </row>
    <row r="13" spans="1:89" ht="31" customHeight="1" x14ac:dyDescent="0.15">
      <c r="AM13" s="60" t="s">
        <v>67</v>
      </c>
      <c r="AN13" s="60" t="s">
        <v>74</v>
      </c>
      <c r="AT13" s="68" t="s">
        <v>0</v>
      </c>
      <c r="AU13" s="69"/>
      <c r="AV13" s="69">
        <f>ABS(IF(AV28&gt;0,VLOOKUP(AV$12,$AL$14:$AM$26,2,FALSE)-VLOOKUP($AT13,$AL$14:$AM$26,2,FALSE),""))</f>
        <v>0.5</v>
      </c>
      <c r="AW13" s="69">
        <f t="shared" ref="AW13" si="0">ABS(IF(AW28&gt;0,VLOOKUP(AW$12,$AL$14:$AM$26,2,FALSE)-VLOOKUP($AT13,$AL$14:$AM$26,2,FALSE),""))</f>
        <v>1</v>
      </c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I13" s="68" t="s">
        <v>0</v>
      </c>
      <c r="BJ13" s="69"/>
      <c r="BK13" s="69">
        <f>ABS(IF(AV28&gt;0,VLOOKUP(BK$12,$AL$14:$AN$26,3,FALSE)-VLOOKUP($AT13,$AL$14:$AN$26,3,FALSE),""))</f>
        <v>2</v>
      </c>
      <c r="BL13" s="69">
        <f>ABS(IF(AW28&gt;0,VLOOKUP(BL$12,$AL$14:$AN$26,3,FALSE)-VLOOKUP($AT13,$AL$14:$AN$26,3,FALSE),""))</f>
        <v>0</v>
      </c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X13" s="68" t="s">
        <v>0</v>
      </c>
      <c r="BY13" s="69" t="str">
        <f>IF(SQRT(AU13^2+BJ13^2)=0,"",SQRT(AU13^2+BJ13^2))</f>
        <v/>
      </c>
      <c r="BZ13" s="69">
        <f>IF(SQRT(AV13^2+BK13^2)=0,"",SQRT(AV13^2+BK13^2))*10</f>
        <v>20.615528128088304</v>
      </c>
      <c r="CA13" s="69">
        <f>IF(SQRT(AW13^2+BL13^2)=0,"",SQRT(AW13^2+BL13^2))*10</f>
        <v>10</v>
      </c>
      <c r="CB13" s="69" t="str">
        <f t="shared" ref="CB13:CK25" si="1">IF(SQRT(AX13^2+BM13^2)=0,"",SQRT(AX13^2+BM13^2))</f>
        <v/>
      </c>
      <c r="CC13" s="69" t="str">
        <f t="shared" si="1"/>
        <v/>
      </c>
      <c r="CD13" s="69" t="str">
        <f t="shared" si="1"/>
        <v/>
      </c>
      <c r="CE13" s="69" t="str">
        <f t="shared" si="1"/>
        <v/>
      </c>
      <c r="CF13" s="69" t="str">
        <f t="shared" si="1"/>
        <v/>
      </c>
      <c r="CG13" s="69" t="str">
        <f t="shared" si="1"/>
        <v/>
      </c>
      <c r="CH13" s="69" t="str">
        <f t="shared" si="1"/>
        <v/>
      </c>
      <c r="CI13" s="69" t="str">
        <f t="shared" si="1"/>
        <v/>
      </c>
      <c r="CJ13" s="69" t="str">
        <f t="shared" si="1"/>
        <v/>
      </c>
      <c r="CK13" s="69" t="str">
        <f t="shared" si="1"/>
        <v/>
      </c>
    </row>
    <row r="14" spans="1:89" ht="31" customHeight="1" x14ac:dyDescent="0.15">
      <c r="O14" s="60"/>
      <c r="P14" s="79">
        <v>1</v>
      </c>
      <c r="Q14" s="79">
        <f>P14+1</f>
        <v>2</v>
      </c>
      <c r="R14" s="79">
        <f t="shared" ref="R14:AE14" si="2">Q14+1</f>
        <v>3</v>
      </c>
      <c r="S14" s="79">
        <f t="shared" si="2"/>
        <v>4</v>
      </c>
      <c r="T14" s="79">
        <f t="shared" si="2"/>
        <v>5</v>
      </c>
      <c r="U14" s="79">
        <f t="shared" si="2"/>
        <v>6</v>
      </c>
      <c r="V14" s="79">
        <f t="shared" si="2"/>
        <v>7</v>
      </c>
      <c r="W14" s="79">
        <f t="shared" si="2"/>
        <v>8</v>
      </c>
      <c r="X14" s="79">
        <f t="shared" si="2"/>
        <v>9</v>
      </c>
      <c r="Y14" s="79">
        <f t="shared" si="2"/>
        <v>10</v>
      </c>
      <c r="Z14" s="79">
        <f t="shared" si="2"/>
        <v>11</v>
      </c>
      <c r="AA14" s="79">
        <f t="shared" si="2"/>
        <v>12</v>
      </c>
      <c r="AB14" s="79">
        <f t="shared" si="2"/>
        <v>13</v>
      </c>
      <c r="AC14" s="79">
        <f t="shared" si="2"/>
        <v>14</v>
      </c>
      <c r="AD14" s="79">
        <f t="shared" si="2"/>
        <v>15</v>
      </c>
      <c r="AE14" s="79">
        <f t="shared" si="2"/>
        <v>16</v>
      </c>
      <c r="AF14" s="64"/>
      <c r="AG14" s="64"/>
      <c r="AH14" s="64"/>
      <c r="AI14" s="64"/>
      <c r="AJ14" s="64"/>
      <c r="AK14" s="64"/>
      <c r="AL14" s="70" t="s">
        <v>12</v>
      </c>
      <c r="AM14" s="72">
        <v>12.5</v>
      </c>
      <c r="AN14" s="72">
        <v>2.5</v>
      </c>
      <c r="AO14" s="72"/>
      <c r="AP14" s="72"/>
      <c r="AT14" s="68" t="s">
        <v>1</v>
      </c>
      <c r="AU14" s="69">
        <f t="shared" ref="AU14:BC15" si="3">ABS(IF(AU29&gt;0,VLOOKUP(AU$12,$AL$14:$AM$26,2,FALSE)-VLOOKUP($AT14,$AL$14:$AM$26,2,FALSE),""))</f>
        <v>0.5</v>
      </c>
      <c r="AV14" s="69"/>
      <c r="AW14" s="69">
        <f t="shared" si="3"/>
        <v>0.5</v>
      </c>
      <c r="AX14" s="69">
        <f t="shared" si="3"/>
        <v>7</v>
      </c>
      <c r="AY14" s="69"/>
      <c r="AZ14" s="69"/>
      <c r="BA14" s="69"/>
      <c r="BB14" s="69"/>
      <c r="BC14" s="69"/>
      <c r="BD14" s="69"/>
      <c r="BE14" s="69"/>
      <c r="BF14" s="69"/>
      <c r="BG14" s="69"/>
      <c r="BI14" s="68" t="s">
        <v>1</v>
      </c>
      <c r="BJ14" s="69">
        <f>ABS(IF(AU29&gt;0,VLOOKUP(BJ$12,$AL$14:$AN$26,3,FALSE)-VLOOKUP($AT14,$AL$14:$AN$26,3,FALSE),""))</f>
        <v>2</v>
      </c>
      <c r="BK14" s="69"/>
      <c r="BL14" s="69">
        <f t="shared" ref="BL14:BM14" si="4">ABS(IF(AW29&gt;0,VLOOKUP(BL$12,$AL$14:$AN$26,3,FALSE)-VLOOKUP($AT14,$AL$14:$AN$26,3,FALSE),""))</f>
        <v>2</v>
      </c>
      <c r="BM14" s="69">
        <f t="shared" si="4"/>
        <v>11.5</v>
      </c>
      <c r="BN14" s="69"/>
      <c r="BO14" s="69"/>
      <c r="BP14" s="69"/>
      <c r="BQ14" s="69"/>
      <c r="BR14" s="69"/>
      <c r="BS14" s="69"/>
      <c r="BT14" s="69"/>
      <c r="BU14" s="69"/>
      <c r="BV14" s="69"/>
      <c r="BX14" s="68" t="s">
        <v>1</v>
      </c>
      <c r="BY14" s="69">
        <f>IF(SQRT(AU14^2+BJ14^2)=0,"",SQRT(AU14^2+BJ14^2))*10</f>
        <v>20.615528128088304</v>
      </c>
      <c r="BZ14" s="69" t="str">
        <f t="shared" ref="BZ14:CA25" si="5">IF(SQRT(AV14^2+BK14^2)=0,"",SQRT(AV14^2+BK14^2))</f>
        <v/>
      </c>
      <c r="CA14" s="69">
        <f>IF(SQRT(AW14^2+BL14^2)=0,"",SQRT(AW14^2+BL14^2))*10</f>
        <v>20.615528128088304</v>
      </c>
      <c r="CB14" s="69">
        <f>IF(SQRT(AX14^2+BM14^2)=0,"",SQRT(AX14^2+BM14^2))*10</f>
        <v>134.6291201783626</v>
      </c>
      <c r="CC14" s="69" t="str">
        <f t="shared" si="1"/>
        <v/>
      </c>
      <c r="CD14" s="69" t="str">
        <f t="shared" si="1"/>
        <v/>
      </c>
      <c r="CE14" s="69" t="str">
        <f t="shared" si="1"/>
        <v/>
      </c>
      <c r="CF14" s="69" t="str">
        <f t="shared" si="1"/>
        <v/>
      </c>
      <c r="CG14" s="69" t="str">
        <f t="shared" si="1"/>
        <v/>
      </c>
      <c r="CH14" s="69" t="str">
        <f t="shared" si="1"/>
        <v/>
      </c>
      <c r="CI14" s="69" t="str">
        <f t="shared" si="1"/>
        <v/>
      </c>
      <c r="CJ14" s="69" t="str">
        <f t="shared" si="1"/>
        <v/>
      </c>
      <c r="CK14" s="69" t="str">
        <f t="shared" si="1"/>
        <v/>
      </c>
    </row>
    <row r="15" spans="1:89" ht="31" customHeight="1" x14ac:dyDescent="0.15">
      <c r="O15" s="79">
        <v>1</v>
      </c>
      <c r="AL15" s="70" t="s">
        <v>9</v>
      </c>
      <c r="AM15" s="72">
        <v>3.5</v>
      </c>
      <c r="AN15" s="72">
        <v>4.5</v>
      </c>
      <c r="AO15" s="72"/>
      <c r="AP15" s="72"/>
      <c r="AT15" s="68" t="s">
        <v>2</v>
      </c>
      <c r="AU15" s="69"/>
      <c r="AV15" s="69"/>
      <c r="AW15" s="69"/>
      <c r="AX15" s="69">
        <f t="shared" si="3"/>
        <v>7.5</v>
      </c>
      <c r="AY15" s="69"/>
      <c r="AZ15" s="69"/>
      <c r="BA15" s="69"/>
      <c r="BB15" s="69"/>
      <c r="BC15" s="69">
        <f t="shared" si="3"/>
        <v>4.5</v>
      </c>
      <c r="BD15" s="69"/>
      <c r="BE15" s="69"/>
      <c r="BF15" s="69"/>
      <c r="BG15" s="69"/>
      <c r="BI15" s="68" t="s">
        <v>2</v>
      </c>
      <c r="BJ15" s="69"/>
      <c r="BK15" s="69"/>
      <c r="BL15" s="69"/>
      <c r="BM15" s="69">
        <f>ABS(IF(AX30&gt;0,VLOOKUP(BM$12,$AL$14:$AN$26,3,FALSE)-VLOOKUP($AT15,$AL$14:$AN$26,3,FALSE),""))</f>
        <v>9.5</v>
      </c>
      <c r="BN15" s="69"/>
      <c r="BO15" s="69"/>
      <c r="BP15" s="69"/>
      <c r="BQ15" s="69"/>
      <c r="BR15" s="69">
        <f>ABS(IF(BC30&gt;0,VLOOKUP(BR$12,$AL$14:$AN$26,3,FALSE)-VLOOKUP($AT15,$AL$14:$AN$26,3,FALSE),""))</f>
        <v>3</v>
      </c>
      <c r="BS15" s="69"/>
      <c r="BT15" s="69"/>
      <c r="BU15" s="69"/>
      <c r="BV15" s="69"/>
      <c r="BX15" s="68" t="s">
        <v>2</v>
      </c>
      <c r="BY15" s="69" t="str">
        <f t="shared" ref="BY15:BY25" si="6">IF(SQRT(AU15^2+BJ15^2)=0,"",SQRT(AU15^2+BJ15^2))</f>
        <v/>
      </c>
      <c r="BZ15" s="69" t="str">
        <f t="shared" si="5"/>
        <v/>
      </c>
      <c r="CA15" s="69" t="str">
        <f t="shared" si="5"/>
        <v/>
      </c>
      <c r="CB15" s="69">
        <f>IF(SQRT(AX15^2+BM15^2)=0,"",SQRT(AX15^2+BM15^2))*10</f>
        <v>121.03718436910205</v>
      </c>
      <c r="CC15" s="69" t="str">
        <f t="shared" si="1"/>
        <v/>
      </c>
      <c r="CD15" s="69" t="str">
        <f t="shared" si="1"/>
        <v/>
      </c>
      <c r="CE15" s="69" t="str">
        <f t="shared" si="1"/>
        <v/>
      </c>
      <c r="CF15" s="69" t="str">
        <f t="shared" si="1"/>
        <v/>
      </c>
      <c r="CG15" s="69">
        <f>IF(SQRT(BC15^2+BR15^2)=0,"",SQRT(BC15^2+BR15^2))*10</f>
        <v>54.083269131959845</v>
      </c>
      <c r="CH15" s="69" t="str">
        <f t="shared" si="1"/>
        <v/>
      </c>
      <c r="CI15" s="69" t="str">
        <f t="shared" si="1"/>
        <v/>
      </c>
      <c r="CJ15" s="69" t="str">
        <f t="shared" si="1"/>
        <v/>
      </c>
      <c r="CK15" s="69" t="str">
        <f t="shared" si="1"/>
        <v/>
      </c>
    </row>
    <row r="16" spans="1:89" ht="31" customHeight="1" x14ac:dyDescent="0.15">
      <c r="O16" s="79">
        <f>O15+1</f>
        <v>2</v>
      </c>
      <c r="AL16" s="70" t="s">
        <v>3</v>
      </c>
      <c r="AM16" s="72">
        <v>8</v>
      </c>
      <c r="AN16" s="72">
        <v>1.5</v>
      </c>
      <c r="AO16" s="72"/>
      <c r="AP16" s="72"/>
      <c r="AT16" s="68" t="s">
        <v>3</v>
      </c>
      <c r="AU16" s="69"/>
      <c r="AV16" s="69"/>
      <c r="AW16" s="69">
        <f t="shared" ref="AW16:BC16" si="7">ABS(IF(AW31&gt;0,VLOOKUP(AW$12,$AL$14:$AM$26,2,FALSE)-VLOOKUP($AT16,$AL$14:$AM$26,2,FALSE),""))</f>
        <v>7.5</v>
      </c>
      <c r="AX16" s="69"/>
      <c r="AY16" s="69"/>
      <c r="AZ16" s="69"/>
      <c r="BA16" s="69">
        <f>ABS(IF(BA31&gt;0,VLOOKUP(BA$12,$AL$14:$AM$26,2,FALSE)-VLOOKUP($AT16,$AL$14:$AM$26,2,FALSE),""))</f>
        <v>2</v>
      </c>
      <c r="BB16" s="69">
        <f t="shared" si="7"/>
        <v>0</v>
      </c>
      <c r="BC16" s="69">
        <f t="shared" si="7"/>
        <v>3</v>
      </c>
      <c r="BD16" s="69"/>
      <c r="BE16" s="69"/>
      <c r="BF16" s="69"/>
      <c r="BG16" s="69"/>
      <c r="BI16" s="68" t="s">
        <v>3</v>
      </c>
      <c r="BJ16" s="69"/>
      <c r="BK16" s="69"/>
      <c r="BL16" s="69">
        <f>ABS(IF(AW31&gt;0,VLOOKUP(BL$12,$AL$14:$AN$26,3,FALSE)-VLOOKUP($AT16,$AL$14:$AN$26,3,FALSE),""))</f>
        <v>9.5</v>
      </c>
      <c r="BM16" s="69"/>
      <c r="BN16" s="69"/>
      <c r="BO16" s="69"/>
      <c r="BP16" s="69">
        <f>ABS(IF(BA31&gt;0,VLOOKUP(BP$12,$AL$14:$AN$26,3,FALSE)-VLOOKUP($AT16,$AL$14:$AN$26,3,FALSE),""))</f>
        <v>4</v>
      </c>
      <c r="BQ16" s="69">
        <f t="shared" ref="BQ16:BR16" si="8">ABS(IF(BB31&gt;0,VLOOKUP(BQ$12,$AL$14:$AN$26,3,FALSE)-VLOOKUP($AT16,$AL$14:$AN$26,3,FALSE),""))</f>
        <v>6.5</v>
      </c>
      <c r="BR16" s="69">
        <f t="shared" si="8"/>
        <v>6.5</v>
      </c>
      <c r="BS16" s="69"/>
      <c r="BT16" s="69"/>
      <c r="BU16" s="69"/>
      <c r="BV16" s="69"/>
      <c r="BX16" s="68" t="s">
        <v>3</v>
      </c>
      <c r="BY16" s="69" t="str">
        <f t="shared" si="6"/>
        <v/>
      </c>
      <c r="BZ16" s="69" t="str">
        <f t="shared" si="5"/>
        <v/>
      </c>
      <c r="CA16" s="69">
        <f>IF(SQRT(AW16^2+BL16^2)=0,"",SQRT(AW16^2+BL16^2))*10</f>
        <v>121.03718436910205</v>
      </c>
      <c r="CB16" s="69" t="str">
        <f t="shared" ref="CB16:CB25" si="9">IF(SQRT(AX16^2+BM16^2)=0,"",SQRT(AX16^2+BM16^2))</f>
        <v/>
      </c>
      <c r="CC16" s="69" t="str">
        <f t="shared" si="1"/>
        <v/>
      </c>
      <c r="CD16" s="69" t="str">
        <f t="shared" si="1"/>
        <v/>
      </c>
      <c r="CE16" s="69">
        <f>IF(SQRT(BA16^2+BP16^2)=0,"",SQRT(BA16^2+BP16^2))*10</f>
        <v>44.721359549995796</v>
      </c>
      <c r="CF16" s="69">
        <f>IF(SQRT(BB16^2+BQ16^2)=0,"",SQRT(BB16^2+BQ16^2))*10</f>
        <v>65</v>
      </c>
      <c r="CG16" s="69">
        <f>IF(SQRT(BC16^2+BR16^2)=0,"",SQRT(BC16^2+BR16^2))*10</f>
        <v>71.589105316381762</v>
      </c>
      <c r="CH16" s="69" t="str">
        <f t="shared" si="1"/>
        <v/>
      </c>
      <c r="CI16" s="69" t="str">
        <f t="shared" si="1"/>
        <v/>
      </c>
      <c r="CJ16" s="69" t="str">
        <f t="shared" si="1"/>
        <v/>
      </c>
      <c r="CK16" s="69" t="str">
        <f t="shared" si="1"/>
        <v/>
      </c>
    </row>
    <row r="17" spans="15:89" ht="31" customHeight="1" x14ac:dyDescent="0.15">
      <c r="O17" s="79">
        <f t="shared" ref="O17:O28" si="10">O16+1</f>
        <v>3</v>
      </c>
      <c r="AL17" s="70" t="s">
        <v>1</v>
      </c>
      <c r="AM17" s="72">
        <v>1</v>
      </c>
      <c r="AN17" s="72">
        <v>13</v>
      </c>
      <c r="AO17" s="72"/>
      <c r="AP17" s="72"/>
      <c r="AT17" s="68" t="s">
        <v>4</v>
      </c>
      <c r="AU17" s="69"/>
      <c r="AV17" s="69"/>
      <c r="AW17" s="69"/>
      <c r="AX17" s="69"/>
      <c r="AY17" s="69"/>
      <c r="AZ17" s="69">
        <f t="shared" ref="AZ17:BB17" si="11">ABS(IF(AZ32&gt;0,VLOOKUP(AZ$12,$AL$14:$AM$26,2,FALSE)-VLOOKUP($AT17,$AL$14:$AM$26,2,FALSE),""))</f>
        <v>2</v>
      </c>
      <c r="BA17" s="69">
        <f t="shared" si="11"/>
        <v>0.5</v>
      </c>
      <c r="BB17" s="69">
        <f t="shared" si="11"/>
        <v>1.5</v>
      </c>
      <c r="BC17" s="69"/>
      <c r="BD17" s="69"/>
      <c r="BE17" s="69"/>
      <c r="BF17" s="69"/>
      <c r="BG17" s="69"/>
      <c r="BI17" s="68" t="s">
        <v>4</v>
      </c>
      <c r="BJ17" s="69"/>
      <c r="BK17" s="69"/>
      <c r="BL17" s="69"/>
      <c r="BM17" s="69"/>
      <c r="BN17" s="69"/>
      <c r="BO17" s="69">
        <f t="shared" ref="BO17:BS20" si="12">ABS(IF(AZ32&gt;0,VLOOKUP(BO$12,$AL$14:$AN$26,3,FALSE)-VLOOKUP($AT17,$AL$14:$AN$26,3,FALSE),""))</f>
        <v>2.5</v>
      </c>
      <c r="BP17" s="69">
        <f t="shared" si="12"/>
        <v>3.5</v>
      </c>
      <c r="BQ17" s="69">
        <f t="shared" si="12"/>
        <v>6</v>
      </c>
      <c r="BR17" s="69"/>
      <c r="BS17" s="69"/>
      <c r="BT17" s="69"/>
      <c r="BU17" s="69"/>
      <c r="BV17" s="69"/>
      <c r="BX17" s="68" t="s">
        <v>4</v>
      </c>
      <c r="BY17" s="69" t="str">
        <f t="shared" si="6"/>
        <v/>
      </c>
      <c r="BZ17" s="69" t="str">
        <f t="shared" si="5"/>
        <v/>
      </c>
      <c r="CA17" s="69" t="str">
        <f t="shared" si="5"/>
        <v/>
      </c>
      <c r="CB17" s="69" t="str">
        <f t="shared" si="9"/>
        <v/>
      </c>
      <c r="CC17" s="69" t="str">
        <f t="shared" si="1"/>
        <v/>
      </c>
      <c r="CD17" s="69">
        <f>IF(SQRT(AZ17^2+BO17^2)=0,"",SQRT(AZ17^2+BO17^2))*10</f>
        <v>32.015621187164243</v>
      </c>
      <c r="CE17" s="69">
        <f t="shared" ref="CE17:CG18" si="13">IF(SQRT(BA17^2+BP17^2)=0,"",SQRT(BA17^2+BP17^2))*10</f>
        <v>35.355339059327378</v>
      </c>
      <c r="CF17" s="69">
        <f t="shared" si="13"/>
        <v>61.846584384264901</v>
      </c>
      <c r="CG17" s="69" t="str">
        <f t="shared" si="1"/>
        <v/>
      </c>
      <c r="CH17" s="69" t="str">
        <f t="shared" si="1"/>
        <v/>
      </c>
      <c r="CI17" s="69" t="str">
        <f t="shared" si="1"/>
        <v/>
      </c>
      <c r="CJ17" s="69" t="str">
        <f t="shared" si="1"/>
        <v/>
      </c>
      <c r="CK17" s="69" t="str">
        <f t="shared" si="1"/>
        <v/>
      </c>
    </row>
    <row r="18" spans="15:89" ht="31" customHeight="1" x14ac:dyDescent="0.15">
      <c r="O18" s="79">
        <f t="shared" si="10"/>
        <v>4</v>
      </c>
      <c r="AL18" s="70" t="s">
        <v>11</v>
      </c>
      <c r="AM18" s="72">
        <v>10</v>
      </c>
      <c r="AN18" s="72">
        <v>7</v>
      </c>
      <c r="AO18" s="72"/>
      <c r="AP18" s="72"/>
      <c r="AT18" s="68" t="s">
        <v>5</v>
      </c>
      <c r="AU18" s="69"/>
      <c r="AV18" s="69"/>
      <c r="AW18" s="69">
        <f t="shared" ref="AW18:BC18" si="14">ABS(IF(AW33&gt;0,VLOOKUP(AW$12,$AL$14:$AM$26,2,FALSE)-VLOOKUP($AT18,$AL$14:$AM$26,2,FALSE),""))</f>
        <v>8</v>
      </c>
      <c r="AX18" s="69"/>
      <c r="AY18" s="69"/>
      <c r="AZ18" s="69"/>
      <c r="BA18" s="69">
        <f t="shared" si="14"/>
        <v>2.5</v>
      </c>
      <c r="BB18" s="69">
        <f t="shared" si="14"/>
        <v>0.5</v>
      </c>
      <c r="BC18" s="69">
        <f t="shared" si="14"/>
        <v>3.5</v>
      </c>
      <c r="BD18" s="69"/>
      <c r="BE18" s="69"/>
      <c r="BF18" s="69"/>
      <c r="BG18" s="69"/>
      <c r="BI18" s="68" t="s">
        <v>5</v>
      </c>
      <c r="BJ18" s="69"/>
      <c r="BK18" s="69"/>
      <c r="BL18" s="69">
        <f>ABS(IF(AW33&gt;0,VLOOKUP(BL$12,$AL$14:$AN$26,3,FALSE)-VLOOKUP($AT18,$AL$14:$AN$26,3,FALSE),""))</f>
        <v>6.5</v>
      </c>
      <c r="BM18" s="69"/>
      <c r="BN18" s="69"/>
      <c r="BO18" s="69"/>
      <c r="BP18" s="69">
        <f t="shared" si="12"/>
        <v>1</v>
      </c>
      <c r="BQ18" s="69">
        <f t="shared" si="12"/>
        <v>3.5</v>
      </c>
      <c r="BR18" s="69">
        <f t="shared" si="12"/>
        <v>3.5</v>
      </c>
      <c r="BS18" s="69"/>
      <c r="BT18" s="69"/>
      <c r="BU18" s="69"/>
      <c r="BV18" s="69"/>
      <c r="BX18" s="68" t="s">
        <v>5</v>
      </c>
      <c r="BY18" s="69" t="str">
        <f t="shared" si="6"/>
        <v/>
      </c>
      <c r="BZ18" s="69" t="str">
        <f t="shared" si="5"/>
        <v/>
      </c>
      <c r="CA18" s="69">
        <f>IF(SQRT(AW18^2+BL18^2)=0,"",SQRT(AW18^2+BL18^2))*10</f>
        <v>103.07764064044152</v>
      </c>
      <c r="CB18" s="69" t="str">
        <f t="shared" si="9"/>
        <v/>
      </c>
      <c r="CC18" s="69" t="str">
        <f t="shared" si="1"/>
        <v/>
      </c>
      <c r="CD18" s="69" t="str">
        <f t="shared" si="1"/>
        <v/>
      </c>
      <c r="CE18" s="69">
        <f>IF(SQRT(BA18^2+BP18^2)=0,"",SQRT(BA18^2+BP18^2))*10</f>
        <v>26.92582403567252</v>
      </c>
      <c r="CF18" s="69">
        <f t="shared" si="13"/>
        <v>35.355339059327378</v>
      </c>
      <c r="CG18" s="69">
        <f t="shared" si="13"/>
        <v>49.497474683058329</v>
      </c>
      <c r="CH18" s="69" t="str">
        <f t="shared" si="1"/>
        <v/>
      </c>
      <c r="CI18" s="69" t="str">
        <f t="shared" si="1"/>
        <v/>
      </c>
      <c r="CJ18" s="69" t="str">
        <f t="shared" si="1"/>
        <v/>
      </c>
      <c r="CK18" s="69" t="str">
        <f t="shared" si="1"/>
        <v/>
      </c>
    </row>
    <row r="19" spans="15:89" ht="31" customHeight="1" x14ac:dyDescent="0.15">
      <c r="O19" s="79">
        <f t="shared" si="10"/>
        <v>5</v>
      </c>
      <c r="AL19" s="70" t="s">
        <v>7</v>
      </c>
      <c r="AM19" s="72">
        <v>8</v>
      </c>
      <c r="AN19" s="72">
        <v>8</v>
      </c>
      <c r="AO19" s="72"/>
      <c r="AP19" s="72"/>
      <c r="AT19" s="68" t="s">
        <v>6</v>
      </c>
      <c r="AU19" s="69"/>
      <c r="AV19" s="69"/>
      <c r="AW19" s="69"/>
      <c r="AX19" s="69"/>
      <c r="AY19" s="69">
        <f t="shared" ref="AY19:BD21" si="15">ABS(IF(AY34&gt;0,VLOOKUP(AY$12,$AL$14:$AM$26,2,FALSE)-VLOOKUP($AT19,$AL$14:$AM$26,2,FALSE),""))</f>
        <v>0.5</v>
      </c>
      <c r="AZ19" s="69">
        <f t="shared" si="15"/>
        <v>2.5</v>
      </c>
      <c r="BA19" s="69"/>
      <c r="BB19" s="69">
        <f t="shared" si="15"/>
        <v>2</v>
      </c>
      <c r="BC19" s="69">
        <f t="shared" si="15"/>
        <v>1</v>
      </c>
      <c r="BD19" s="69"/>
      <c r="BE19" s="69"/>
      <c r="BF19" s="69"/>
      <c r="BG19" s="69"/>
      <c r="BI19" s="68" t="s">
        <v>6</v>
      </c>
      <c r="BJ19" s="69"/>
      <c r="BK19" s="69"/>
      <c r="BL19" s="69"/>
      <c r="BM19" s="69"/>
      <c r="BN19" s="69">
        <f t="shared" ref="BN19:BO19" si="16">ABS(IF(AY34&gt;0,VLOOKUP(BN$12,$AL$14:$AN$26,3,FALSE)-VLOOKUP($AT19,$AL$14:$AN$26,3,FALSE),""))</f>
        <v>3.5</v>
      </c>
      <c r="BO19" s="69">
        <f t="shared" si="16"/>
        <v>1</v>
      </c>
      <c r="BP19" s="69"/>
      <c r="BQ19" s="69">
        <f t="shared" si="12"/>
        <v>2.5</v>
      </c>
      <c r="BR19" s="69">
        <f t="shared" si="12"/>
        <v>2.5</v>
      </c>
      <c r="BS19" s="69"/>
      <c r="BT19" s="69"/>
      <c r="BU19" s="69"/>
      <c r="BV19" s="69"/>
      <c r="BX19" s="68" t="s">
        <v>6</v>
      </c>
      <c r="BY19" s="69" t="str">
        <f t="shared" si="6"/>
        <v/>
      </c>
      <c r="BZ19" s="69" t="str">
        <f t="shared" si="5"/>
        <v/>
      </c>
      <c r="CA19" s="69" t="str">
        <f t="shared" si="5"/>
        <v/>
      </c>
      <c r="CB19" s="69" t="str">
        <f t="shared" si="9"/>
        <v/>
      </c>
      <c r="CC19" s="69">
        <f>IF(SQRT(AY19^2+BN19^2)=0,"",SQRT(AY19^2+BN19^2))*10</f>
        <v>35.355339059327378</v>
      </c>
      <c r="CD19" s="69">
        <f>IF(SQRT(AZ19^2+BO19^2)=0,"",SQRT(AZ19^2+BO19^2))*10</f>
        <v>26.92582403567252</v>
      </c>
      <c r="CE19" s="69" t="str">
        <f t="shared" si="1"/>
        <v/>
      </c>
      <c r="CF19" s="69">
        <f t="shared" si="1"/>
        <v>3.2015621187164243</v>
      </c>
      <c r="CG19" s="69">
        <f>IF(SQRT(BC19^2+BR19^2)=0,"",SQRT(BC19^2+BR19^2))*10</f>
        <v>26.92582403567252</v>
      </c>
      <c r="CH19" s="69" t="str">
        <f t="shared" si="1"/>
        <v/>
      </c>
      <c r="CI19" s="69" t="str">
        <f t="shared" si="1"/>
        <v/>
      </c>
      <c r="CJ19" s="69" t="str">
        <f t="shared" si="1"/>
        <v/>
      </c>
      <c r="CK19" s="69" t="str">
        <f t="shared" si="1"/>
        <v/>
      </c>
    </row>
    <row r="20" spans="15:89" ht="31" customHeight="1" x14ac:dyDescent="0.15">
      <c r="O20" s="79">
        <f t="shared" si="10"/>
        <v>6</v>
      </c>
      <c r="AL20" s="70" t="s">
        <v>8</v>
      </c>
      <c r="AM20" s="72">
        <v>5</v>
      </c>
      <c r="AN20" s="72">
        <v>8</v>
      </c>
      <c r="AO20" s="72"/>
      <c r="AP20" s="72"/>
      <c r="AT20" s="68" t="s">
        <v>7</v>
      </c>
      <c r="AU20" s="69"/>
      <c r="AV20" s="69"/>
      <c r="AW20" s="69"/>
      <c r="AX20" s="69"/>
      <c r="AY20" s="69"/>
      <c r="AZ20" s="69"/>
      <c r="BA20" s="69"/>
      <c r="BB20" s="69"/>
      <c r="BC20" s="69">
        <f t="shared" si="15"/>
        <v>3</v>
      </c>
      <c r="BD20" s="69">
        <f t="shared" si="15"/>
        <v>4.5</v>
      </c>
      <c r="BE20" s="69"/>
      <c r="BF20" s="69"/>
      <c r="BG20" s="69"/>
      <c r="BI20" s="68" t="s">
        <v>7</v>
      </c>
      <c r="BJ20" s="69"/>
      <c r="BK20" s="69"/>
      <c r="BL20" s="69"/>
      <c r="BM20" s="69"/>
      <c r="BN20" s="69"/>
      <c r="BO20" s="69"/>
      <c r="BP20" s="69"/>
      <c r="BQ20" s="69"/>
      <c r="BR20" s="69">
        <f t="shared" si="12"/>
        <v>0</v>
      </c>
      <c r="BS20" s="69">
        <f t="shared" si="12"/>
        <v>3.5</v>
      </c>
      <c r="BT20" s="69"/>
      <c r="BU20" s="69"/>
      <c r="BV20" s="69"/>
      <c r="BX20" s="68" t="s">
        <v>7</v>
      </c>
      <c r="BY20" s="69" t="str">
        <f t="shared" si="6"/>
        <v/>
      </c>
      <c r="BZ20" s="69" t="str">
        <f t="shared" si="5"/>
        <v/>
      </c>
      <c r="CA20" s="69" t="str">
        <f t="shared" si="5"/>
        <v/>
      </c>
      <c r="CB20" s="69" t="str">
        <f t="shared" si="9"/>
        <v/>
      </c>
      <c r="CC20" s="69" t="str">
        <f t="shared" si="1"/>
        <v/>
      </c>
      <c r="CD20" s="69" t="str">
        <f t="shared" si="1"/>
        <v/>
      </c>
      <c r="CE20" s="69" t="str">
        <f t="shared" si="1"/>
        <v/>
      </c>
      <c r="CF20" s="69" t="str">
        <f t="shared" si="1"/>
        <v/>
      </c>
      <c r="CG20" s="69">
        <f>IF(SQRT(BC20^2+BR20^2)=0,"",SQRT(BC20^2+BR20^2))*10</f>
        <v>30</v>
      </c>
      <c r="CH20" s="69">
        <f>IF(SQRT(BD20^2+BS20^2)=0,"",SQRT(BD20^2+BS20^2))*10</f>
        <v>57.008771254956898</v>
      </c>
      <c r="CI20" s="69" t="str">
        <f t="shared" si="1"/>
        <v/>
      </c>
      <c r="CJ20" s="69" t="str">
        <f t="shared" si="1"/>
        <v/>
      </c>
      <c r="CK20" s="69" t="str">
        <f t="shared" si="1"/>
        <v/>
      </c>
    </row>
    <row r="21" spans="15:89" ht="31" customHeight="1" x14ac:dyDescent="0.15">
      <c r="O21" s="79">
        <f t="shared" si="10"/>
        <v>7</v>
      </c>
      <c r="AL21" s="70" t="s">
        <v>5</v>
      </c>
      <c r="AM21" s="72">
        <v>8.5</v>
      </c>
      <c r="AN21" s="72">
        <v>4.5</v>
      </c>
      <c r="AO21" s="72"/>
      <c r="AP21" s="72"/>
      <c r="AT21" s="68" t="s">
        <v>8</v>
      </c>
      <c r="AU21" s="69"/>
      <c r="AV21" s="69"/>
      <c r="AW21" s="69"/>
      <c r="AX21" s="69"/>
      <c r="AY21" s="69"/>
      <c r="AZ21" s="69"/>
      <c r="BA21" s="69"/>
      <c r="BB21" s="69"/>
      <c r="BC21" s="69"/>
      <c r="BD21" s="69">
        <f t="shared" si="15"/>
        <v>1.5</v>
      </c>
      <c r="BE21" s="69"/>
      <c r="BF21" s="69"/>
      <c r="BG21" s="69"/>
      <c r="BI21" s="68" t="s">
        <v>8</v>
      </c>
      <c r="BJ21" s="69"/>
      <c r="BK21" s="69"/>
      <c r="BL21" s="69"/>
      <c r="BM21" s="69"/>
      <c r="BN21" s="69"/>
      <c r="BO21" s="69"/>
      <c r="BP21" s="69"/>
      <c r="BQ21" s="69"/>
      <c r="BR21" s="69"/>
      <c r="BS21" s="69">
        <f>ABS(IF(BD36&gt;0,VLOOKUP(BS$12,$AL$14:$AN$26,3,FALSE)-VLOOKUP($AT21,$AL$14:$AN$26,3,FALSE),""))</f>
        <v>3.5</v>
      </c>
      <c r="BT21" s="69"/>
      <c r="BU21" s="69"/>
      <c r="BV21" s="69"/>
      <c r="BX21" s="68" t="s">
        <v>8</v>
      </c>
      <c r="BY21" s="69" t="str">
        <f t="shared" si="6"/>
        <v/>
      </c>
      <c r="BZ21" s="69" t="str">
        <f t="shared" si="5"/>
        <v/>
      </c>
      <c r="CA21" s="69" t="str">
        <f t="shared" si="5"/>
        <v/>
      </c>
      <c r="CB21" s="69" t="str">
        <f t="shared" si="9"/>
        <v/>
      </c>
      <c r="CC21" s="69" t="str">
        <f t="shared" si="1"/>
        <v/>
      </c>
      <c r="CD21" s="69" t="str">
        <f t="shared" si="1"/>
        <v/>
      </c>
      <c r="CE21" s="69" t="str">
        <f t="shared" si="1"/>
        <v/>
      </c>
      <c r="CF21" s="69" t="str">
        <f t="shared" si="1"/>
        <v/>
      </c>
      <c r="CG21" s="69" t="str">
        <f t="shared" si="1"/>
        <v/>
      </c>
      <c r="CH21" s="69">
        <f>IF(SQRT(BD21^2+BS21^2)=0,"",SQRT(BD21^2+BS21^2))*10</f>
        <v>38.078865529319543</v>
      </c>
      <c r="CI21" s="69" t="str">
        <f t="shared" si="1"/>
        <v/>
      </c>
      <c r="CJ21" s="69" t="str">
        <f t="shared" si="1"/>
        <v/>
      </c>
      <c r="CK21" s="69" t="str">
        <f t="shared" si="1"/>
        <v/>
      </c>
    </row>
    <row r="22" spans="15:89" ht="31" customHeight="1" x14ac:dyDescent="0.15">
      <c r="O22" s="79">
        <f t="shared" si="10"/>
        <v>8</v>
      </c>
      <c r="AL22" s="70" t="s">
        <v>4</v>
      </c>
      <c r="AM22" s="72">
        <v>6.5</v>
      </c>
      <c r="AN22" s="72">
        <v>2</v>
      </c>
      <c r="AO22" s="72"/>
      <c r="AP22" s="72"/>
      <c r="AT22" s="68" t="s">
        <v>9</v>
      </c>
      <c r="AU22" s="69"/>
      <c r="AV22" s="69"/>
      <c r="AW22" s="69"/>
      <c r="AX22" s="69"/>
      <c r="AY22" s="69"/>
      <c r="AZ22" s="69"/>
      <c r="BA22" s="69"/>
      <c r="BB22" s="69"/>
      <c r="BC22" s="69">
        <f t="shared" ref="BC22" si="17">ABS(IF(BC37&gt;0,VLOOKUP(BC$12,$AL$14:$AM$26,2,FALSE)-VLOOKUP($AT22,$AL$14:$AM$26,2,FALSE),""))</f>
        <v>1.5</v>
      </c>
      <c r="BD22" s="69"/>
      <c r="BE22" s="69"/>
      <c r="BF22" s="69"/>
      <c r="BG22" s="69"/>
      <c r="BI22" s="68" t="s">
        <v>9</v>
      </c>
      <c r="BJ22" s="69"/>
      <c r="BK22" s="69"/>
      <c r="BL22" s="69"/>
      <c r="BM22" s="69"/>
      <c r="BN22" s="69"/>
      <c r="BO22" s="69"/>
      <c r="BP22" s="69"/>
      <c r="BQ22" s="69"/>
      <c r="BR22" s="69">
        <f>ABS(IF(BC37&gt;0,VLOOKUP(BR$12,$AL$14:$AN$26,3,FALSE)-VLOOKUP($AT22,$AL$14:$AN$26,3,FALSE),""))</f>
        <v>3.5</v>
      </c>
      <c r="BS22" s="69"/>
      <c r="BT22" s="69"/>
      <c r="BU22" s="69"/>
      <c r="BV22" s="69"/>
      <c r="BX22" s="68" t="s">
        <v>9</v>
      </c>
      <c r="BY22" s="69" t="str">
        <f t="shared" si="6"/>
        <v/>
      </c>
      <c r="BZ22" s="69" t="str">
        <f t="shared" si="5"/>
        <v/>
      </c>
      <c r="CA22" s="69" t="str">
        <f t="shared" si="5"/>
        <v/>
      </c>
      <c r="CB22" s="69" t="str">
        <f t="shared" si="9"/>
        <v/>
      </c>
      <c r="CC22" s="69" t="str">
        <f t="shared" si="1"/>
        <v/>
      </c>
      <c r="CD22" s="69" t="str">
        <f t="shared" si="1"/>
        <v/>
      </c>
      <c r="CE22" s="69" t="str">
        <f t="shared" si="1"/>
        <v/>
      </c>
      <c r="CF22" s="69" t="str">
        <f t="shared" si="1"/>
        <v/>
      </c>
      <c r="CG22" s="69">
        <f>IF(SQRT(BC22^2+BR22^2)=0,"",SQRT(BC22^2+BR22^2))*10</f>
        <v>38.078865529319543</v>
      </c>
      <c r="CH22" s="69" t="str">
        <f t="shared" si="1"/>
        <v/>
      </c>
      <c r="CI22" s="69" t="str">
        <f t="shared" si="1"/>
        <v/>
      </c>
      <c r="CJ22" s="69" t="str">
        <f t="shared" si="1"/>
        <v/>
      </c>
      <c r="CK22" s="69" t="str">
        <f t="shared" si="1"/>
        <v/>
      </c>
    </row>
    <row r="23" spans="15:89" ht="31" customHeight="1" x14ac:dyDescent="0.15">
      <c r="O23" s="79">
        <f t="shared" si="10"/>
        <v>9</v>
      </c>
      <c r="AL23" s="70" t="s">
        <v>0</v>
      </c>
      <c r="AM23" s="72">
        <v>1.5</v>
      </c>
      <c r="AN23" s="72">
        <v>11</v>
      </c>
      <c r="AO23" s="72"/>
      <c r="AP23" s="72"/>
      <c r="AT23" s="68" t="s">
        <v>10</v>
      </c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>
        <f t="shared" ref="BF23:BG23" si="18">ABS(IF(BF38&gt;0,VLOOKUP(BF$12,$AL$14:$AM$26,2,FALSE)-VLOOKUP($AT23,$AL$14:$AM$26,2,FALSE),""))</f>
        <v>2</v>
      </c>
      <c r="BG23" s="69">
        <f t="shared" si="18"/>
        <v>0.5</v>
      </c>
      <c r="BI23" s="68" t="s">
        <v>10</v>
      </c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>
        <f t="shared" ref="BU23:BV23" si="19">ABS(IF(BF38&gt;0,VLOOKUP(BU$12,$AL$14:$AN$26,3,FALSE)-VLOOKUP($AT23,$AL$14:$AN$26,3,FALSE),""))</f>
        <v>0</v>
      </c>
      <c r="BV23" s="69">
        <f t="shared" si="19"/>
        <v>4.5</v>
      </c>
      <c r="BX23" s="68" t="s">
        <v>10</v>
      </c>
      <c r="BY23" s="69" t="str">
        <f t="shared" si="6"/>
        <v/>
      </c>
      <c r="BZ23" s="69" t="str">
        <f t="shared" si="5"/>
        <v/>
      </c>
      <c r="CA23" s="69" t="str">
        <f t="shared" si="5"/>
        <v/>
      </c>
      <c r="CB23" s="69" t="str">
        <f t="shared" si="9"/>
        <v/>
      </c>
      <c r="CC23" s="69" t="str">
        <f t="shared" si="1"/>
        <v/>
      </c>
      <c r="CD23" s="69" t="str">
        <f t="shared" si="1"/>
        <v/>
      </c>
      <c r="CE23" s="69" t="str">
        <f t="shared" si="1"/>
        <v/>
      </c>
      <c r="CF23" s="69" t="str">
        <f t="shared" si="1"/>
        <v/>
      </c>
      <c r="CG23" s="69" t="str">
        <f t="shared" si="1"/>
        <v/>
      </c>
      <c r="CH23" s="69" t="str">
        <f t="shared" si="1"/>
        <v/>
      </c>
      <c r="CI23" s="69" t="str">
        <f t="shared" si="1"/>
        <v/>
      </c>
      <c r="CJ23" s="69">
        <f>IF(SQRT(BF23^2+BU23^2)=0,"",SQRT(BF23^2+BU23^2))*10</f>
        <v>20</v>
      </c>
      <c r="CK23" s="69">
        <f>IF(SQRT(BG23^2+BV23^2)=0,"",SQRT(BG23^2+BV23^2))*10</f>
        <v>45.276925690687087</v>
      </c>
    </row>
    <row r="24" spans="15:89" ht="31" customHeight="1" x14ac:dyDescent="0.15">
      <c r="O24" s="79">
        <f t="shared" si="10"/>
        <v>10</v>
      </c>
      <c r="AL24" s="70" t="s">
        <v>6</v>
      </c>
      <c r="AM24" s="72">
        <v>6</v>
      </c>
      <c r="AN24" s="72">
        <v>5.5</v>
      </c>
      <c r="AO24" s="72"/>
      <c r="AP24" s="72"/>
      <c r="AT24" s="68" t="s">
        <v>11</v>
      </c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>
        <f t="shared" ref="BE24:BG24" si="20">ABS(IF(BE39&gt;0,VLOOKUP(BE$12,$AL$14:$AM$26,2,FALSE)-VLOOKUP($AT24,$AL$14:$AM$26,2,FALSE),""))</f>
        <v>2</v>
      </c>
      <c r="BF24" s="69"/>
      <c r="BG24" s="69">
        <f t="shared" si="20"/>
        <v>2.5</v>
      </c>
      <c r="BI24" s="68" t="s">
        <v>11</v>
      </c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>
        <f>ABS(IF(BE39&gt;0,VLOOKUP(BT$12,$AL$14:$AN$26,3,FALSE)-VLOOKUP($AT24,$AL$14:$AN$26,3,FALSE),""))</f>
        <v>0</v>
      </c>
      <c r="BU24" s="69"/>
      <c r="BV24" s="69">
        <f>ABS(IF(BG39&gt;0,VLOOKUP(BV$12,$AL$14:$AN$26,3,FALSE)-VLOOKUP($AT24,$AL$14:$AN$26,3,FALSE),""))</f>
        <v>4.5</v>
      </c>
      <c r="BX24" s="68" t="s">
        <v>11</v>
      </c>
      <c r="BY24" s="69" t="str">
        <f t="shared" si="6"/>
        <v/>
      </c>
      <c r="BZ24" s="69" t="str">
        <f t="shared" si="5"/>
        <v/>
      </c>
      <c r="CA24" s="69" t="str">
        <f t="shared" si="5"/>
        <v/>
      </c>
      <c r="CB24" s="69" t="str">
        <f t="shared" si="9"/>
        <v/>
      </c>
      <c r="CC24" s="69" t="str">
        <f t="shared" si="1"/>
        <v/>
      </c>
      <c r="CD24" s="69" t="str">
        <f t="shared" si="1"/>
        <v/>
      </c>
      <c r="CE24" s="69" t="str">
        <f t="shared" si="1"/>
        <v/>
      </c>
      <c r="CF24" s="69" t="str">
        <f t="shared" si="1"/>
        <v/>
      </c>
      <c r="CG24" s="69" t="str">
        <f t="shared" si="1"/>
        <v/>
      </c>
      <c r="CH24" s="69" t="str">
        <f t="shared" si="1"/>
        <v/>
      </c>
      <c r="CI24" s="69">
        <f>IF(SQRT(BE24^2+BT24^2)=0,"",SQRT(BE24^2+BT24^2))*10</f>
        <v>20</v>
      </c>
      <c r="CJ24" s="69" t="str">
        <f t="shared" si="1"/>
        <v/>
      </c>
      <c r="CK24" s="69">
        <f>IF(SQRT(BG24^2+BV24^2)=0,"",SQRT(BG24^2+BV24^2))*10</f>
        <v>51.478150704935004</v>
      </c>
    </row>
    <row r="25" spans="15:89" ht="31" customHeight="1" x14ac:dyDescent="0.15">
      <c r="O25" s="79">
        <f t="shared" si="10"/>
        <v>11</v>
      </c>
      <c r="AL25" s="70" t="s">
        <v>2</v>
      </c>
      <c r="AM25" s="72">
        <v>0.5</v>
      </c>
      <c r="AN25" s="72">
        <v>11</v>
      </c>
      <c r="AO25" s="72"/>
      <c r="AP25" s="72"/>
      <c r="AT25" s="68" t="s">
        <v>12</v>
      </c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>
        <f t="shared" ref="BF25" si="21">ABS(IF(BF40&gt;0,VLOOKUP(BF$12,$AL$14:$AM$26,2,FALSE)-VLOOKUP($AT25,$AL$14:$AM$26,2,FALSE),""))</f>
        <v>2.5</v>
      </c>
      <c r="BG25" s="69"/>
      <c r="BI25" s="68" t="s">
        <v>12</v>
      </c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>
        <f>ABS(IF(BF40&gt;0,VLOOKUP(BU$12,$AL$14:$AN$26,3,FALSE)-VLOOKUP($AT25,$AL$14:$AN$26,3,FALSE),""))</f>
        <v>4.5</v>
      </c>
      <c r="BV25" s="69"/>
      <c r="BX25" s="68" t="s">
        <v>12</v>
      </c>
      <c r="BY25" s="69" t="str">
        <f t="shared" si="6"/>
        <v/>
      </c>
      <c r="BZ25" s="69" t="str">
        <f t="shared" si="5"/>
        <v/>
      </c>
      <c r="CA25" s="69" t="str">
        <f t="shared" si="5"/>
        <v/>
      </c>
      <c r="CB25" s="69" t="str">
        <f t="shared" si="9"/>
        <v/>
      </c>
      <c r="CC25" s="69" t="str">
        <f t="shared" si="1"/>
        <v/>
      </c>
      <c r="CD25" s="69" t="str">
        <f t="shared" si="1"/>
        <v/>
      </c>
      <c r="CE25" s="69" t="str">
        <f t="shared" si="1"/>
        <v/>
      </c>
      <c r="CF25" s="69" t="str">
        <f t="shared" si="1"/>
        <v/>
      </c>
      <c r="CG25" s="69" t="str">
        <f t="shared" si="1"/>
        <v/>
      </c>
      <c r="CH25" s="69" t="str">
        <f t="shared" si="1"/>
        <v/>
      </c>
      <c r="CI25" s="69" t="str">
        <f t="shared" si="1"/>
        <v/>
      </c>
      <c r="CJ25" s="69">
        <f>IF(SQRT(BF25^2+BU25^2)=0,"",SQRT(BF25^2+BU25^2))*10</f>
        <v>51.478150704935004</v>
      </c>
      <c r="CK25" s="69" t="str">
        <f t="shared" si="1"/>
        <v/>
      </c>
    </row>
    <row r="26" spans="15:89" ht="31" customHeight="1" x14ac:dyDescent="0.15">
      <c r="O26" s="79">
        <f t="shared" si="10"/>
        <v>12</v>
      </c>
      <c r="AL26" s="70" t="s">
        <v>10</v>
      </c>
      <c r="AM26" s="72">
        <v>12</v>
      </c>
      <c r="AN26" s="72">
        <v>7</v>
      </c>
      <c r="AO26" s="72"/>
      <c r="AP26" s="72"/>
      <c r="AT26" s="61" t="s">
        <v>76</v>
      </c>
    </row>
    <row r="27" spans="15:89" ht="31" customHeight="1" x14ac:dyDescent="0.15">
      <c r="O27" s="79">
        <f t="shared" si="10"/>
        <v>13</v>
      </c>
      <c r="AT27" s="66"/>
      <c r="AU27" s="67" t="s">
        <v>0</v>
      </c>
      <c r="AV27" s="67" t="s">
        <v>1</v>
      </c>
      <c r="AW27" s="67" t="s">
        <v>2</v>
      </c>
      <c r="AX27" s="67" t="s">
        <v>3</v>
      </c>
      <c r="AY27" s="67" t="s">
        <v>4</v>
      </c>
      <c r="AZ27" s="67" t="s">
        <v>5</v>
      </c>
      <c r="BA27" s="67" t="s">
        <v>6</v>
      </c>
      <c r="BB27" s="67" t="s">
        <v>7</v>
      </c>
      <c r="BC27" s="67" t="s">
        <v>8</v>
      </c>
      <c r="BD27" s="67" t="s">
        <v>9</v>
      </c>
      <c r="BE27" s="67" t="s">
        <v>10</v>
      </c>
      <c r="BF27" s="67" t="s">
        <v>11</v>
      </c>
      <c r="BG27" s="67" t="s">
        <v>12</v>
      </c>
      <c r="BI27" s="66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</row>
    <row r="28" spans="15:89" ht="31" customHeight="1" x14ac:dyDescent="0.15">
      <c r="O28" s="79">
        <f t="shared" si="10"/>
        <v>14</v>
      </c>
      <c r="AT28" s="68" t="s">
        <v>0</v>
      </c>
      <c r="AU28" s="69"/>
      <c r="AV28" s="69">
        <f>34230.7692307692/4</f>
        <v>8557.6923076922994</v>
      </c>
      <c r="AW28" s="69">
        <f>11153.8461538462/4</f>
        <v>2788.4615384615499</v>
      </c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I28" s="68"/>
      <c r="BJ28" s="69" t="s">
        <v>68</v>
      </c>
      <c r="BK28" s="69"/>
      <c r="BL28" s="69"/>
      <c r="BM28" s="73">
        <f>SUMPRODUCT(AU28:BG40,BY13:CK25)</f>
        <v>8716311.7866717465</v>
      </c>
      <c r="BN28" s="69"/>
      <c r="BO28" s="69"/>
      <c r="BP28" s="69"/>
      <c r="BQ28" s="69"/>
      <c r="BR28" s="69"/>
      <c r="BS28" s="69"/>
      <c r="BT28" s="69"/>
      <c r="BU28" s="69"/>
      <c r="BV28" s="69"/>
    </row>
    <row r="29" spans="15:89" ht="31" customHeight="1" x14ac:dyDescent="0.15">
      <c r="O29" s="79"/>
      <c r="AT29" s="68" t="s">
        <v>1</v>
      </c>
      <c r="AU29" s="69">
        <f>20961.5384615385/4</f>
        <v>5240.3846153846252</v>
      </c>
      <c r="AV29" s="69"/>
      <c r="AW29" s="69">
        <f>31923.0769230769/4</f>
        <v>7980.769230769225</v>
      </c>
      <c r="AX29" s="69">
        <f>15384.6153846154/4</f>
        <v>3846.1538461538498</v>
      </c>
      <c r="AY29" s="69"/>
      <c r="AZ29" s="69"/>
      <c r="BA29" s="69"/>
      <c r="BB29" s="69"/>
      <c r="BC29" s="69"/>
      <c r="BD29" s="69"/>
      <c r="BE29" s="69"/>
      <c r="BF29" s="69"/>
      <c r="BG29" s="69"/>
      <c r="BI29" s="68"/>
      <c r="BJ29" s="69" t="s">
        <v>75</v>
      </c>
      <c r="BK29" s="69"/>
      <c r="BL29" s="69"/>
      <c r="BM29" s="69">
        <f>SUM(AU28:BG40)</f>
        <v>188749.99999999994</v>
      </c>
      <c r="BN29" s="69"/>
      <c r="BO29" s="69"/>
      <c r="BP29" s="69"/>
      <c r="BQ29" s="69"/>
      <c r="BR29" s="69"/>
      <c r="BS29" s="69"/>
      <c r="BT29" s="69"/>
      <c r="BU29" s="69"/>
      <c r="BV29" s="69"/>
    </row>
    <row r="30" spans="15:89" ht="31" customHeight="1" x14ac:dyDescent="0.15">
      <c r="AT30" s="68" t="s">
        <v>2</v>
      </c>
      <c r="AU30" s="69"/>
      <c r="AV30" s="69"/>
      <c r="AW30" s="69"/>
      <c r="AX30" s="69">
        <f>56923.0769230769/4</f>
        <v>14230.769230769225</v>
      </c>
      <c r="AY30" s="69"/>
      <c r="AZ30" s="69"/>
      <c r="BA30" s="69"/>
      <c r="BB30" s="69"/>
      <c r="BC30" s="69">
        <f>6153.84615384615/4</f>
        <v>1538.4615384615374</v>
      </c>
      <c r="BD30" s="69"/>
      <c r="BE30" s="69"/>
      <c r="BF30" s="69"/>
      <c r="BG30" s="69"/>
      <c r="BI30" s="68"/>
      <c r="BJ30" s="69" t="s">
        <v>69</v>
      </c>
      <c r="BK30" s="69"/>
      <c r="BL30" s="69"/>
      <c r="BM30" s="74">
        <f>BM28/BM29</f>
        <v>46.179135293625158</v>
      </c>
      <c r="BN30" s="69"/>
      <c r="BO30" s="69"/>
      <c r="BP30" s="69"/>
      <c r="BQ30" s="69"/>
      <c r="BR30" s="69"/>
      <c r="BS30" s="69"/>
      <c r="BT30" s="69"/>
      <c r="BU30" s="69"/>
      <c r="BV30" s="69"/>
    </row>
    <row r="31" spans="15:89" ht="31" customHeight="1" x14ac:dyDescent="0.15">
      <c r="AT31" s="68" t="s">
        <v>3</v>
      </c>
      <c r="AU31" s="69"/>
      <c r="AV31" s="69"/>
      <c r="AW31" s="69">
        <f>6153.84615384615/4</f>
        <v>1538.4615384615374</v>
      </c>
      <c r="AX31" s="69"/>
      <c r="AY31" s="69"/>
      <c r="AZ31" s="69"/>
      <c r="BA31" s="69">
        <f>9230.76923076923/4</f>
        <v>2307.6923076923076</v>
      </c>
      <c r="BB31" s="69">
        <f>15192.3076923077/4</f>
        <v>3798.0769230769251</v>
      </c>
      <c r="BC31" s="69">
        <f>41730.7692307692/4</f>
        <v>10432.692307692299</v>
      </c>
      <c r="BD31" s="69"/>
      <c r="BE31" s="69"/>
      <c r="BF31" s="69"/>
      <c r="BG31" s="69"/>
      <c r="BI31" s="68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</row>
    <row r="32" spans="15:89" ht="31" customHeight="1" x14ac:dyDescent="0.15">
      <c r="AT32" s="68" t="s">
        <v>4</v>
      </c>
      <c r="AU32" s="69"/>
      <c r="AV32" s="69"/>
      <c r="AW32" s="69"/>
      <c r="AX32" s="69"/>
      <c r="AY32" s="69"/>
      <c r="AZ32" s="69">
        <f>41538.4615384615/4</f>
        <v>10384.615384615376</v>
      </c>
      <c r="BA32" s="69">
        <f>37307.6923076923/4</f>
        <v>9326.9230769230744</v>
      </c>
      <c r="BB32" s="69">
        <f>4615.38461538462/4</f>
        <v>1153.8461538461549</v>
      </c>
      <c r="BC32" s="69"/>
      <c r="BD32" s="69"/>
      <c r="BE32" s="69"/>
      <c r="BF32" s="69"/>
      <c r="BG32" s="69"/>
      <c r="BI32" s="68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</row>
    <row r="33" spans="46:74" ht="31" customHeight="1" x14ac:dyDescent="0.15">
      <c r="AT33" s="68" t="s">
        <v>5</v>
      </c>
      <c r="AU33" s="69"/>
      <c r="AV33" s="69"/>
      <c r="AW33" s="69">
        <f>13846.1538461538/4</f>
        <v>3461.5384615384501</v>
      </c>
      <c r="AX33" s="69"/>
      <c r="AY33" s="69"/>
      <c r="AZ33" s="69"/>
      <c r="BA33" s="69">
        <f>36923.0769230769/4</f>
        <v>9230.769230769225</v>
      </c>
      <c r="BB33" s="69">
        <f>14230.7692307692/4</f>
        <v>3557.6923076922999</v>
      </c>
      <c r="BC33" s="69">
        <f>14615.3846153846/4</f>
        <v>3653.8461538461502</v>
      </c>
      <c r="BD33" s="69"/>
      <c r="BE33" s="69"/>
      <c r="BF33" s="69"/>
      <c r="BG33" s="69"/>
      <c r="BI33" s="68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</row>
    <row r="34" spans="46:74" ht="31" customHeight="1" x14ac:dyDescent="0.15">
      <c r="AT34" s="68" t="s">
        <v>6</v>
      </c>
      <c r="AU34" s="69"/>
      <c r="AV34" s="69"/>
      <c r="AW34" s="69"/>
      <c r="AX34" s="69"/>
      <c r="AY34" s="69">
        <f>16923.0769230769/4</f>
        <v>4230.769230769225</v>
      </c>
      <c r="AZ34" s="69">
        <f>17307.6923076923/4</f>
        <v>4326.9230769230753</v>
      </c>
      <c r="BA34" s="69"/>
      <c r="BB34" s="69">
        <f>32307.6923076923/4</f>
        <v>8076.9230769230753</v>
      </c>
      <c r="BC34" s="69">
        <f>16923.0769230769/4</f>
        <v>4230.769230769225</v>
      </c>
      <c r="BD34" s="69"/>
      <c r="BE34" s="69"/>
      <c r="BF34" s="69"/>
      <c r="BG34" s="69"/>
      <c r="BI34" s="68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  <c r="BV34" s="69"/>
    </row>
    <row r="35" spans="46:74" ht="31" customHeight="1" x14ac:dyDescent="0.15">
      <c r="AT35" s="68" t="s">
        <v>7</v>
      </c>
      <c r="AU35" s="69"/>
      <c r="AV35" s="69"/>
      <c r="AW35" s="69"/>
      <c r="AX35" s="69"/>
      <c r="AY35" s="69"/>
      <c r="AZ35" s="69"/>
      <c r="BA35" s="69"/>
      <c r="BB35" s="69"/>
      <c r="BC35" s="69">
        <f>20961.5384615385/4</f>
        <v>5240.3846153846252</v>
      </c>
      <c r="BD35" s="69">
        <f>18076.9230769231/4</f>
        <v>4519.230769230775</v>
      </c>
      <c r="BE35" s="69"/>
      <c r="BF35" s="69"/>
      <c r="BG35" s="69"/>
      <c r="BI35" s="68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U35" s="69"/>
      <c r="BV35" s="69"/>
    </row>
    <row r="36" spans="46:74" ht="31" customHeight="1" x14ac:dyDescent="0.15">
      <c r="AT36" s="68" t="s">
        <v>8</v>
      </c>
      <c r="AU36" s="69"/>
      <c r="AV36" s="69"/>
      <c r="AW36" s="69"/>
      <c r="AX36" s="69"/>
      <c r="AY36" s="69"/>
      <c r="AZ36" s="69"/>
      <c r="BA36" s="69"/>
      <c r="BB36" s="69"/>
      <c r="BC36" s="69"/>
      <c r="BD36" s="69">
        <f>80384.6153846154/4</f>
        <v>20096.153846153851</v>
      </c>
      <c r="BE36" s="69"/>
      <c r="BF36" s="69"/>
      <c r="BG36" s="69"/>
      <c r="BI36" s="68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</row>
    <row r="37" spans="46:74" ht="31" customHeight="1" x14ac:dyDescent="0.15">
      <c r="AT37" s="68" t="s">
        <v>9</v>
      </c>
      <c r="AU37" s="69"/>
      <c r="AV37" s="69"/>
      <c r="AW37" s="69"/>
      <c r="AX37" s="69"/>
      <c r="AY37" s="69"/>
      <c r="AZ37" s="69"/>
      <c r="BA37" s="69"/>
      <c r="BB37" s="69"/>
      <c r="BC37" s="69">
        <f>4615.38461538462/4</f>
        <v>1153.8461538461549</v>
      </c>
      <c r="BD37" s="69"/>
      <c r="BE37" s="69"/>
      <c r="BF37" s="69"/>
      <c r="BG37" s="69"/>
      <c r="BI37" s="68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</row>
    <row r="38" spans="46:74" ht="31" customHeight="1" x14ac:dyDescent="0.15">
      <c r="AT38" s="68" t="s">
        <v>10</v>
      </c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>
        <f>16923.0769230769/4</f>
        <v>4230.769230769225</v>
      </c>
      <c r="BG38" s="69">
        <f>26730.7692307692/4</f>
        <v>6682.6923076923003</v>
      </c>
      <c r="BI38" s="68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</row>
    <row r="39" spans="46:74" ht="31" customHeight="1" x14ac:dyDescent="0.15">
      <c r="AT39" s="68" t="s">
        <v>11</v>
      </c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>
        <f>26730.7692307692/4</f>
        <v>6682.6923076923003</v>
      </c>
      <c r="BF39" s="69"/>
      <c r="BG39" s="69">
        <f>45000/4</f>
        <v>11250</v>
      </c>
      <c r="BI39" s="68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</row>
    <row r="40" spans="46:74" ht="31" customHeight="1" x14ac:dyDescent="0.15">
      <c r="AT40" s="68" t="s">
        <v>12</v>
      </c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>
        <f>20000/4</f>
        <v>5000</v>
      </c>
      <c r="BG40" s="69"/>
      <c r="BI40" s="68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</row>
    <row r="53" spans="13:13" ht="31" customHeight="1" x14ac:dyDescent="0.15">
      <c r="M53" s="75"/>
    </row>
  </sheetData>
  <conditionalFormatting sqref="AU13:BG25">
    <cfRule type="colorScale" priority="24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AU28:BG40">
    <cfRule type="colorScale" priority="23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J14">
    <cfRule type="colorScale" priority="18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J25:BT25 BJ13 BM13:BV13 BK14 BJ15:BL15 BN14:BV14 BN15:BQ15 BJ16:BK16 BS15:BV16 BM16:BO16 BJ17:BN17 BR17:BV17 BJ18:BK18 BM18:BO18 BJ19:BM19 BP19 BS18:BV19 BJ20:BQ20 BJ21:BR21 BT20:BV21 BJ22:BQ22 BS22:BV22 BJ23:BT23 BJ24:BS24 BU24 BV25">
    <cfRule type="colorScale" priority="2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J28:BV40">
    <cfRule type="colorScale" priority="20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K13:BL13">
    <cfRule type="colorScale" priority="19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L16">
    <cfRule type="colorScale" priority="13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L18">
    <cfRule type="colorScale" priority="10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L14:BM14">
    <cfRule type="colorScale" priority="17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M15">
    <cfRule type="colorScale" priority="16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N19:BO19">
    <cfRule type="colorScale" priority="9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O17:BQ17">
    <cfRule type="colorScale" priority="1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P16:BR16">
    <cfRule type="colorScale" priority="14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P18:BR18">
    <cfRule type="colorScale" priority="1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Q19:BR19">
    <cfRule type="colorScale" priority="8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R15">
    <cfRule type="colorScale" priority="15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R22">
    <cfRule type="colorScale" priority="5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R20:BS20">
    <cfRule type="colorScale" priority="7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S21">
    <cfRule type="colorScale" priority="6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T24">
    <cfRule type="colorScale" priority="3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U25">
    <cfRule type="colorScale" priority="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U23:BV23">
    <cfRule type="colorScale" priority="4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V24">
    <cfRule type="colorScale" priority="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Y13:CK25">
    <cfRule type="colorScale" priority="2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36097-7209-5A4F-BE21-BAC7C3BAE27D}">
  <dimension ref="A2:CK53"/>
  <sheetViews>
    <sheetView topLeftCell="D13" zoomScale="106" zoomScaleNormal="74" workbookViewId="0">
      <selection activeCell="BI27" sqref="BI27:BU40"/>
    </sheetView>
  </sheetViews>
  <sheetFormatPr baseColWidth="10" defaultColWidth="5.1640625" defaultRowHeight="31" customHeight="1" x14ac:dyDescent="0.15"/>
  <cols>
    <col min="1" max="23" width="5.1640625" style="61"/>
    <col min="24" max="40" width="5.33203125" style="61" bestFit="1" customWidth="1"/>
    <col min="41" max="46" width="5.1640625" style="61"/>
    <col min="47" max="47" width="7.83203125" style="61" bestFit="1" customWidth="1"/>
    <col min="48" max="59" width="6.1640625" style="61" bestFit="1" customWidth="1"/>
    <col min="60" max="62" width="5.1640625" style="61"/>
    <col min="63" max="63" width="7.83203125" style="61" bestFit="1" customWidth="1"/>
    <col min="64" max="64" width="5.1640625" style="61"/>
    <col min="65" max="65" width="10.1640625" style="61" bestFit="1" customWidth="1"/>
    <col min="66" max="76" width="5.1640625" style="61"/>
    <col min="77" max="77" width="8" style="61" bestFit="1" customWidth="1"/>
    <col min="78" max="16384" width="5.1640625" style="61"/>
  </cols>
  <sheetData>
    <row r="2" spans="1:89" ht="31" customHeight="1" x14ac:dyDescent="0.1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R2" s="60"/>
      <c r="S2" s="60"/>
      <c r="T2" s="60"/>
      <c r="U2" s="60"/>
      <c r="Z2" s="62"/>
      <c r="AC2" s="63"/>
      <c r="AD2" s="63"/>
      <c r="AE2" s="62"/>
      <c r="AF2" s="62"/>
      <c r="AG2" s="63"/>
      <c r="AH2" s="60"/>
      <c r="AI2" s="63" t="s">
        <v>60</v>
      </c>
      <c r="AJ2" s="63"/>
    </row>
    <row r="3" spans="1:89" ht="31" customHeight="1" x14ac:dyDescent="0.15"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R3" s="60"/>
      <c r="S3" s="60"/>
      <c r="T3" s="60"/>
      <c r="U3" s="60"/>
      <c r="Z3" s="62"/>
      <c r="AC3" s="63"/>
      <c r="AD3" s="63"/>
      <c r="AE3" s="62"/>
      <c r="AF3" s="62"/>
      <c r="AG3" s="63"/>
      <c r="AH3" s="60"/>
      <c r="AI3" s="63" t="s">
        <v>61</v>
      </c>
      <c r="AJ3" s="63"/>
    </row>
    <row r="4" spans="1:89" ht="31" customHeight="1" x14ac:dyDescent="0.15">
      <c r="R4" s="60"/>
      <c r="Z4" s="62"/>
      <c r="AC4" s="62"/>
      <c r="AD4" s="62"/>
      <c r="AE4" s="62"/>
      <c r="AF4" s="62"/>
      <c r="AG4" s="63"/>
      <c r="AI4" s="63" t="s">
        <v>62</v>
      </c>
      <c r="AJ4" s="62"/>
    </row>
    <row r="5" spans="1:89" ht="31" customHeight="1" x14ac:dyDescent="0.15">
      <c r="R5" s="60"/>
      <c r="Z5" s="62"/>
      <c r="AA5" s="63"/>
      <c r="AB5" s="62"/>
      <c r="AC5" s="62"/>
      <c r="AD5" s="62"/>
      <c r="AE5" s="62"/>
      <c r="AF5" s="62"/>
      <c r="AG5" s="63"/>
    </row>
    <row r="6" spans="1:89" ht="31" customHeight="1" x14ac:dyDescent="0.15">
      <c r="R6" s="60"/>
      <c r="Z6" s="62"/>
      <c r="AA6" s="63"/>
      <c r="AB6" s="62"/>
      <c r="AC6" s="62"/>
      <c r="AD6" s="62"/>
      <c r="AE6" s="62"/>
      <c r="AF6" s="62"/>
      <c r="AG6" s="63"/>
      <c r="AI6" s="63" t="s">
        <v>63</v>
      </c>
    </row>
    <row r="7" spans="1:89" ht="31" customHeight="1" x14ac:dyDescent="0.15">
      <c r="R7" s="60"/>
      <c r="AA7" s="60"/>
      <c r="AG7" s="60"/>
      <c r="AI7" s="63" t="s">
        <v>66</v>
      </c>
    </row>
    <row r="8" spans="1:89" ht="31" customHeight="1" x14ac:dyDescent="0.15">
      <c r="R8" s="60"/>
    </row>
    <row r="9" spans="1:89" ht="31" customHeight="1" x14ac:dyDescent="0.15">
      <c r="R9" s="60"/>
    </row>
    <row r="10" spans="1:89" ht="31" customHeight="1" x14ac:dyDescent="0.15">
      <c r="R10" s="60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</row>
    <row r="11" spans="1:89" ht="31" customHeight="1" x14ac:dyDescent="0.15">
      <c r="AT11" s="60" t="s">
        <v>79</v>
      </c>
      <c r="AU11" s="60"/>
      <c r="AV11" s="60"/>
      <c r="AW11" s="60"/>
      <c r="AX11" s="60"/>
      <c r="AY11" s="60"/>
      <c r="AZ11" s="60"/>
      <c r="BI11" s="60" t="s">
        <v>80</v>
      </c>
      <c r="BJ11" s="60"/>
      <c r="BK11" s="60"/>
      <c r="BL11" s="60"/>
      <c r="BM11" s="60"/>
      <c r="BN11" s="60"/>
      <c r="BO11" s="60"/>
      <c r="BX11" s="61" t="s">
        <v>81</v>
      </c>
    </row>
    <row r="12" spans="1:89" ht="31" customHeight="1" x14ac:dyDescent="0.15">
      <c r="W12" s="61" t="s">
        <v>82</v>
      </c>
      <c r="X12" s="61" t="s">
        <v>83</v>
      </c>
      <c r="AL12" s="65" t="s">
        <v>73</v>
      </c>
      <c r="AT12" s="66"/>
      <c r="AU12" s="67" t="s">
        <v>0</v>
      </c>
      <c r="AV12" s="67" t="s">
        <v>1</v>
      </c>
      <c r="AW12" s="67" t="s">
        <v>2</v>
      </c>
      <c r="AX12" s="67" t="s">
        <v>3</v>
      </c>
      <c r="AY12" s="67" t="s">
        <v>4</v>
      </c>
      <c r="AZ12" s="67" t="s">
        <v>5</v>
      </c>
      <c r="BA12" s="67" t="s">
        <v>6</v>
      </c>
      <c r="BB12" s="67" t="s">
        <v>7</v>
      </c>
      <c r="BC12" s="67" t="s">
        <v>8</v>
      </c>
      <c r="BD12" s="67" t="s">
        <v>9</v>
      </c>
      <c r="BE12" s="67" t="s">
        <v>10</v>
      </c>
      <c r="BF12" s="67" t="s">
        <v>11</v>
      </c>
      <c r="BG12" s="67" t="s">
        <v>12</v>
      </c>
      <c r="BI12" s="66"/>
      <c r="BJ12" s="67" t="s">
        <v>0</v>
      </c>
      <c r="BK12" s="67" t="s">
        <v>1</v>
      </c>
      <c r="BL12" s="67" t="s">
        <v>2</v>
      </c>
      <c r="BM12" s="67" t="s">
        <v>3</v>
      </c>
      <c r="BN12" s="67" t="s">
        <v>4</v>
      </c>
      <c r="BO12" s="67" t="s">
        <v>5</v>
      </c>
      <c r="BP12" s="67" t="s">
        <v>6</v>
      </c>
      <c r="BQ12" s="67" t="s">
        <v>7</v>
      </c>
      <c r="BR12" s="67" t="s">
        <v>8</v>
      </c>
      <c r="BS12" s="67" t="s">
        <v>9</v>
      </c>
      <c r="BT12" s="67" t="s">
        <v>10</v>
      </c>
      <c r="BU12" s="67" t="s">
        <v>11</v>
      </c>
      <c r="BV12" s="67" t="s">
        <v>12</v>
      </c>
      <c r="BX12" s="66"/>
      <c r="BY12" s="67" t="s">
        <v>0</v>
      </c>
      <c r="BZ12" s="67" t="s">
        <v>1</v>
      </c>
      <c r="CA12" s="67" t="s">
        <v>2</v>
      </c>
      <c r="CB12" s="67" t="s">
        <v>3</v>
      </c>
      <c r="CC12" s="67" t="s">
        <v>4</v>
      </c>
      <c r="CD12" s="67" t="s">
        <v>5</v>
      </c>
      <c r="CE12" s="67" t="s">
        <v>6</v>
      </c>
      <c r="CF12" s="67" t="s">
        <v>7</v>
      </c>
      <c r="CG12" s="67" t="s">
        <v>8</v>
      </c>
      <c r="CH12" s="67" t="s">
        <v>9</v>
      </c>
      <c r="CI12" s="67" t="s">
        <v>10</v>
      </c>
      <c r="CJ12" s="67" t="s">
        <v>11</v>
      </c>
      <c r="CK12" s="67" t="s">
        <v>12</v>
      </c>
    </row>
    <row r="13" spans="1:89" ht="31" customHeight="1" x14ac:dyDescent="0.15">
      <c r="AM13" s="60" t="s">
        <v>67</v>
      </c>
      <c r="AN13" s="60" t="s">
        <v>74</v>
      </c>
      <c r="AT13" s="68" t="s">
        <v>0</v>
      </c>
      <c r="AU13" s="69"/>
      <c r="AV13" s="69">
        <f>ABS(IF(AV28&gt;0,VLOOKUP(AV$12,$AL$14:$AM$26,2,FALSE)-VLOOKUP($AT13,$AL$14:$AM$26,2,FALSE),""))</f>
        <v>0.5</v>
      </c>
      <c r="AW13" s="69">
        <f t="shared" ref="AW13" si="0">ABS(IF(AW28&gt;0,VLOOKUP(AW$12,$AL$14:$AM$26,2,FALSE)-VLOOKUP($AT13,$AL$14:$AM$26,2,FALSE),""))</f>
        <v>11</v>
      </c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I13" s="68" t="s">
        <v>0</v>
      </c>
      <c r="BJ13" s="69"/>
      <c r="BK13" s="69">
        <f>ABS(IF(AV28&gt;0,VLOOKUP(BK$12,$AL$14:$AN$26,3,FALSE)-VLOOKUP($AT13,$AL$14:$AN$26,3,FALSE),""))</f>
        <v>2.5</v>
      </c>
      <c r="BL13" s="69">
        <f>ABS(IF(AW28&gt;0,VLOOKUP(BL$12,$AL$14:$AN$26,3,FALSE)-VLOOKUP($AT13,$AL$14:$AN$26,3,FALSE),""))</f>
        <v>0</v>
      </c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X13" s="68" t="s">
        <v>0</v>
      </c>
      <c r="BY13" s="69" t="str">
        <f>IF(SQRT(AU13^2+BJ13^2)=0,"",SQRT(AU13^2+BJ13^2))</f>
        <v/>
      </c>
      <c r="BZ13" s="69">
        <f>IF(SQRT(AV13^2+BK13^2)=0,"",SQRT(AV13^2+BK13^2))*10</f>
        <v>25.495097567963924</v>
      </c>
      <c r="CA13" s="69">
        <f>IF(SQRT(AW13^2+BL13^2)=0,"",SQRT(AW13^2+BL13^2))*10</f>
        <v>110</v>
      </c>
      <c r="CB13" s="69" t="str">
        <f t="shared" ref="CB13:CK25" si="1">IF(SQRT(AX13^2+BM13^2)=0,"",SQRT(AX13^2+BM13^2))</f>
        <v/>
      </c>
      <c r="CC13" s="69" t="str">
        <f t="shared" si="1"/>
        <v/>
      </c>
      <c r="CD13" s="69" t="str">
        <f t="shared" si="1"/>
        <v/>
      </c>
      <c r="CE13" s="69" t="str">
        <f t="shared" si="1"/>
        <v/>
      </c>
      <c r="CF13" s="69" t="str">
        <f t="shared" si="1"/>
        <v/>
      </c>
      <c r="CG13" s="69" t="str">
        <f t="shared" si="1"/>
        <v/>
      </c>
      <c r="CH13" s="69" t="str">
        <f t="shared" si="1"/>
        <v/>
      </c>
      <c r="CI13" s="69" t="str">
        <f t="shared" si="1"/>
        <v/>
      </c>
      <c r="CJ13" s="69" t="str">
        <f t="shared" si="1"/>
        <v/>
      </c>
      <c r="CK13" s="69" t="str">
        <f t="shared" si="1"/>
        <v/>
      </c>
    </row>
    <row r="14" spans="1:89" ht="31" customHeight="1" x14ac:dyDescent="0.15">
      <c r="O14" s="60"/>
      <c r="P14" s="79">
        <v>1</v>
      </c>
      <c r="Q14" s="79">
        <f>P14+1</f>
        <v>2</v>
      </c>
      <c r="R14" s="79">
        <f t="shared" ref="R14:AE14" si="2">Q14+1</f>
        <v>3</v>
      </c>
      <c r="S14" s="79">
        <f t="shared" si="2"/>
        <v>4</v>
      </c>
      <c r="T14" s="79">
        <f t="shared" si="2"/>
        <v>5</v>
      </c>
      <c r="U14" s="79">
        <f t="shared" si="2"/>
        <v>6</v>
      </c>
      <c r="V14" s="79">
        <f t="shared" si="2"/>
        <v>7</v>
      </c>
      <c r="W14" s="79">
        <f t="shared" si="2"/>
        <v>8</v>
      </c>
      <c r="X14" s="79">
        <f t="shared" si="2"/>
        <v>9</v>
      </c>
      <c r="Y14" s="79">
        <f t="shared" si="2"/>
        <v>10</v>
      </c>
      <c r="Z14" s="79">
        <f t="shared" si="2"/>
        <v>11</v>
      </c>
      <c r="AA14" s="79">
        <f t="shared" si="2"/>
        <v>12</v>
      </c>
      <c r="AB14" s="79">
        <f t="shared" si="2"/>
        <v>13</v>
      </c>
      <c r="AC14" s="79">
        <f t="shared" si="2"/>
        <v>14</v>
      </c>
      <c r="AD14" s="79">
        <f t="shared" si="2"/>
        <v>15</v>
      </c>
      <c r="AE14" s="79">
        <f t="shared" si="2"/>
        <v>16</v>
      </c>
      <c r="AF14" s="79"/>
      <c r="AG14" s="64"/>
      <c r="AH14" s="64"/>
      <c r="AI14" s="64"/>
      <c r="AJ14" s="64"/>
      <c r="AK14" s="64"/>
      <c r="AL14" s="70" t="s">
        <v>12</v>
      </c>
      <c r="AM14" s="72">
        <v>1.5</v>
      </c>
      <c r="AN14" s="72">
        <v>13</v>
      </c>
      <c r="AO14" s="72"/>
      <c r="AP14" s="72"/>
      <c r="AT14" s="68" t="s">
        <v>1</v>
      </c>
      <c r="AU14" s="69">
        <f t="shared" ref="AU14:BC15" si="3">ABS(IF(AU29&gt;0,VLOOKUP(AU$12,$AL$14:$AM$26,2,FALSE)-VLOOKUP($AT14,$AL$14:$AM$26,2,FALSE),""))</f>
        <v>0.5</v>
      </c>
      <c r="AV14" s="69"/>
      <c r="AW14" s="69">
        <f t="shared" si="3"/>
        <v>11.5</v>
      </c>
      <c r="AX14" s="69">
        <f t="shared" si="3"/>
        <v>1</v>
      </c>
      <c r="AY14" s="69"/>
      <c r="AZ14" s="69"/>
      <c r="BA14" s="69"/>
      <c r="BB14" s="69"/>
      <c r="BC14" s="69"/>
      <c r="BD14" s="69"/>
      <c r="BE14" s="69"/>
      <c r="BF14" s="69"/>
      <c r="BG14" s="69"/>
      <c r="BI14" s="68" t="s">
        <v>1</v>
      </c>
      <c r="BJ14" s="69">
        <f>ABS(IF(AU29&gt;0,VLOOKUP(BJ$12,$AL$14:$AN$26,3,FALSE)-VLOOKUP($AT14,$AL$14:$AN$26,3,FALSE),""))</f>
        <v>2.5</v>
      </c>
      <c r="BK14" s="69"/>
      <c r="BL14" s="69">
        <f t="shared" ref="BL14:BM14" si="4">ABS(IF(AW29&gt;0,VLOOKUP(BL$12,$AL$14:$AN$26,3,FALSE)-VLOOKUP($AT14,$AL$14:$AN$26,3,FALSE),""))</f>
        <v>2.5</v>
      </c>
      <c r="BM14" s="69">
        <f t="shared" si="4"/>
        <v>5.5</v>
      </c>
      <c r="BN14" s="69"/>
      <c r="BO14" s="69"/>
      <c r="BP14" s="69"/>
      <c r="BQ14" s="69"/>
      <c r="BR14" s="69"/>
      <c r="BS14" s="69"/>
      <c r="BT14" s="69"/>
      <c r="BU14" s="69"/>
      <c r="BV14" s="69"/>
      <c r="BX14" s="68" t="s">
        <v>1</v>
      </c>
      <c r="BY14" s="69">
        <f>IF(SQRT(AU14^2+BJ14^2)=0,"",SQRT(AU14^2+BJ14^2))*10</f>
        <v>25.495097567963924</v>
      </c>
      <c r="BZ14" s="69" t="str">
        <f t="shared" ref="BZ14:CA25" si="5">IF(SQRT(AV14^2+BK14^2)=0,"",SQRT(AV14^2+BK14^2))</f>
        <v/>
      </c>
      <c r="CA14" s="69">
        <f>IF(SQRT(AW14^2+BL14^2)=0,"",SQRT(AW14^2+BL14^2))*10</f>
        <v>117.6860229593982</v>
      </c>
      <c r="CB14" s="69">
        <f>IF(SQRT(AX14^2+BM14^2)=0,"",SQRT(AX14^2+BM14^2))*10</f>
        <v>55.901699437494742</v>
      </c>
      <c r="CC14" s="69" t="str">
        <f t="shared" si="1"/>
        <v/>
      </c>
      <c r="CD14" s="69" t="str">
        <f t="shared" si="1"/>
        <v/>
      </c>
      <c r="CE14" s="69" t="str">
        <f t="shared" si="1"/>
        <v/>
      </c>
      <c r="CF14" s="69" t="str">
        <f t="shared" si="1"/>
        <v/>
      </c>
      <c r="CG14" s="69" t="str">
        <f t="shared" si="1"/>
        <v/>
      </c>
      <c r="CH14" s="69" t="str">
        <f t="shared" si="1"/>
        <v/>
      </c>
      <c r="CI14" s="69" t="str">
        <f t="shared" si="1"/>
        <v/>
      </c>
      <c r="CJ14" s="69" t="str">
        <f t="shared" si="1"/>
        <v/>
      </c>
      <c r="CK14" s="69" t="str">
        <f t="shared" si="1"/>
        <v/>
      </c>
    </row>
    <row r="15" spans="1:89" ht="31" customHeight="1" x14ac:dyDescent="0.15">
      <c r="O15" s="79">
        <v>1</v>
      </c>
      <c r="AL15" s="70" t="s">
        <v>9</v>
      </c>
      <c r="AM15" s="72">
        <v>11</v>
      </c>
      <c r="AN15" s="72">
        <v>11</v>
      </c>
      <c r="AO15" s="72"/>
      <c r="AP15" s="72"/>
      <c r="AT15" s="68" t="s">
        <v>2</v>
      </c>
      <c r="AU15" s="69"/>
      <c r="AV15" s="69"/>
      <c r="AW15" s="69"/>
      <c r="AX15" s="69">
        <f t="shared" si="3"/>
        <v>10.5</v>
      </c>
      <c r="AY15" s="69"/>
      <c r="AZ15" s="69"/>
      <c r="BA15" s="69"/>
      <c r="BB15" s="69"/>
      <c r="BC15" s="69">
        <f t="shared" si="3"/>
        <v>7.5</v>
      </c>
      <c r="BD15" s="69"/>
      <c r="BE15" s="69"/>
      <c r="BF15" s="69"/>
      <c r="BG15" s="69"/>
      <c r="BI15" s="68" t="s">
        <v>2</v>
      </c>
      <c r="BJ15" s="69"/>
      <c r="BK15" s="69"/>
      <c r="BL15" s="69"/>
      <c r="BM15" s="69">
        <f>ABS(IF(AX30&gt;0,VLOOKUP(BM$12,$AL$14:$AN$26,3,FALSE)-VLOOKUP($AT15,$AL$14:$AN$26,3,FALSE),""))</f>
        <v>3</v>
      </c>
      <c r="BN15" s="69"/>
      <c r="BO15" s="69"/>
      <c r="BP15" s="69"/>
      <c r="BQ15" s="69"/>
      <c r="BR15" s="69">
        <f>ABS(IF(BC30&gt;0,VLOOKUP(BR$12,$AL$14:$AN$26,3,FALSE)-VLOOKUP($AT15,$AL$14:$AN$26,3,FALSE),""))</f>
        <v>2</v>
      </c>
      <c r="BS15" s="69"/>
      <c r="BT15" s="69"/>
      <c r="BU15" s="69"/>
      <c r="BV15" s="69"/>
      <c r="BX15" s="68" t="s">
        <v>2</v>
      </c>
      <c r="BY15" s="69" t="str">
        <f t="shared" ref="BY15:BY25" si="6">IF(SQRT(AU15^2+BJ15^2)=0,"",SQRT(AU15^2+BJ15^2))</f>
        <v/>
      </c>
      <c r="BZ15" s="69" t="str">
        <f t="shared" si="5"/>
        <v/>
      </c>
      <c r="CA15" s="69" t="str">
        <f t="shared" si="5"/>
        <v/>
      </c>
      <c r="CB15" s="69">
        <f>IF(SQRT(AX15^2+BM15^2)=0,"",SQRT(AX15^2+BM15^2))*10</f>
        <v>109.20164833920778</v>
      </c>
      <c r="CC15" s="69" t="str">
        <f t="shared" si="1"/>
        <v/>
      </c>
      <c r="CD15" s="69" t="str">
        <f t="shared" si="1"/>
        <v/>
      </c>
      <c r="CE15" s="69" t="str">
        <f t="shared" si="1"/>
        <v/>
      </c>
      <c r="CF15" s="69" t="str">
        <f t="shared" si="1"/>
        <v/>
      </c>
      <c r="CG15" s="69">
        <f>IF(SQRT(BC15^2+BR15^2)=0,"",SQRT(BC15^2+BR15^2))*10</f>
        <v>77.620873481300123</v>
      </c>
      <c r="CH15" s="69" t="str">
        <f t="shared" si="1"/>
        <v/>
      </c>
      <c r="CI15" s="69" t="str">
        <f t="shared" si="1"/>
        <v/>
      </c>
      <c r="CJ15" s="69" t="str">
        <f t="shared" si="1"/>
        <v/>
      </c>
      <c r="CK15" s="69" t="str">
        <f t="shared" si="1"/>
        <v/>
      </c>
    </row>
    <row r="16" spans="1:89" ht="31" customHeight="1" x14ac:dyDescent="0.15">
      <c r="O16" s="79">
        <f>O15+1</f>
        <v>2</v>
      </c>
      <c r="AL16" s="70" t="s">
        <v>3</v>
      </c>
      <c r="AM16" s="72">
        <v>12</v>
      </c>
      <c r="AN16" s="72">
        <v>7</v>
      </c>
      <c r="AO16" s="72"/>
      <c r="AP16" s="72"/>
      <c r="AT16" s="68" t="s">
        <v>3</v>
      </c>
      <c r="AU16" s="69"/>
      <c r="AV16" s="69"/>
      <c r="AW16" s="69">
        <f t="shared" ref="AW16:BC16" si="7">ABS(IF(AW31&gt;0,VLOOKUP(AW$12,$AL$14:$AM$26,2,FALSE)-VLOOKUP($AT16,$AL$14:$AM$26,2,FALSE),""))</f>
        <v>10.5</v>
      </c>
      <c r="AX16" s="69"/>
      <c r="AY16" s="69"/>
      <c r="AZ16" s="69"/>
      <c r="BA16" s="69">
        <f>ABS(IF(BA31&gt;0,VLOOKUP(BA$12,$AL$14:$AM$26,2,FALSE)-VLOOKUP($AT16,$AL$14:$AM$26,2,FALSE),""))</f>
        <v>4</v>
      </c>
      <c r="BB16" s="69">
        <f t="shared" si="7"/>
        <v>6</v>
      </c>
      <c r="BC16" s="69">
        <f t="shared" si="7"/>
        <v>3</v>
      </c>
      <c r="BD16" s="69"/>
      <c r="BE16" s="69"/>
      <c r="BF16" s="69"/>
      <c r="BG16" s="69"/>
      <c r="BI16" s="68" t="s">
        <v>3</v>
      </c>
      <c r="BJ16" s="69"/>
      <c r="BK16" s="69"/>
      <c r="BL16" s="69">
        <f>ABS(IF(AW31&gt;0,VLOOKUP(BL$12,$AL$14:$AN$26,3,FALSE)-VLOOKUP($AT16,$AL$14:$AN$26,3,FALSE),""))</f>
        <v>3</v>
      </c>
      <c r="BM16" s="69"/>
      <c r="BN16" s="69"/>
      <c r="BO16" s="69"/>
      <c r="BP16" s="69">
        <f>ABS(IF(BA31&gt;0,VLOOKUP(BP$12,$AL$14:$AN$26,3,FALSE)-VLOOKUP($AT16,$AL$14:$AN$26,3,FALSE),""))</f>
        <v>2</v>
      </c>
      <c r="BQ16" s="69">
        <f t="shared" ref="BQ16:BR16" si="8">ABS(IF(BB31&gt;0,VLOOKUP(BQ$12,$AL$14:$AN$26,3,FALSE)-VLOOKUP($AT16,$AL$14:$AN$26,3,FALSE),""))</f>
        <v>0.5</v>
      </c>
      <c r="BR16" s="69">
        <f t="shared" si="8"/>
        <v>1</v>
      </c>
      <c r="BS16" s="69"/>
      <c r="BT16" s="69"/>
      <c r="BU16" s="69"/>
      <c r="BV16" s="69"/>
      <c r="BX16" s="68" t="s">
        <v>3</v>
      </c>
      <c r="BY16" s="69" t="str">
        <f t="shared" si="6"/>
        <v/>
      </c>
      <c r="BZ16" s="69" t="str">
        <f t="shared" si="5"/>
        <v/>
      </c>
      <c r="CA16" s="69">
        <f>IF(SQRT(AW16^2+BL16^2)=0,"",SQRT(AW16^2+BL16^2))*10</f>
        <v>109.20164833920778</v>
      </c>
      <c r="CB16" s="69" t="str">
        <f t="shared" ref="CB16:CB25" si="9">IF(SQRT(AX16^2+BM16^2)=0,"",SQRT(AX16^2+BM16^2))</f>
        <v/>
      </c>
      <c r="CC16" s="69" t="str">
        <f t="shared" si="1"/>
        <v/>
      </c>
      <c r="CD16" s="69" t="str">
        <f t="shared" si="1"/>
        <v/>
      </c>
      <c r="CE16" s="69">
        <f>IF(SQRT(BA16^2+BP16^2)=0,"",SQRT(BA16^2+BP16^2))*10</f>
        <v>44.721359549995796</v>
      </c>
      <c r="CF16" s="69">
        <f>IF(SQRT(BB16^2+BQ16^2)=0,"",SQRT(BB16^2+BQ16^2))*10</f>
        <v>60.207972893961482</v>
      </c>
      <c r="CG16" s="69">
        <f>IF(SQRT(BC16^2+BR16^2)=0,"",SQRT(BC16^2+BR16^2))*10</f>
        <v>31.622776601683796</v>
      </c>
      <c r="CH16" s="69" t="str">
        <f t="shared" si="1"/>
        <v/>
      </c>
      <c r="CI16" s="69" t="str">
        <f t="shared" si="1"/>
        <v/>
      </c>
      <c r="CJ16" s="69" t="str">
        <f t="shared" si="1"/>
        <v/>
      </c>
      <c r="CK16" s="69" t="str">
        <f t="shared" si="1"/>
        <v/>
      </c>
    </row>
    <row r="17" spans="15:89" ht="31" customHeight="1" x14ac:dyDescent="0.15">
      <c r="O17" s="79">
        <f t="shared" ref="O17:O28" si="10">O16+1</f>
        <v>3</v>
      </c>
      <c r="AL17" s="70" t="s">
        <v>1</v>
      </c>
      <c r="AM17" s="72">
        <v>13</v>
      </c>
      <c r="AN17" s="72">
        <v>1.5</v>
      </c>
      <c r="AO17" s="72"/>
      <c r="AP17" s="72"/>
      <c r="AT17" s="68" t="s">
        <v>4</v>
      </c>
      <c r="AU17" s="69"/>
      <c r="AV17" s="69"/>
      <c r="AW17" s="69"/>
      <c r="AX17" s="69"/>
      <c r="AY17" s="69"/>
      <c r="AZ17" s="69">
        <f t="shared" ref="AZ17:BB17" si="11">ABS(IF(AZ32&gt;0,VLOOKUP(AZ$12,$AL$14:$AM$26,2,FALSE)-VLOOKUP($AT17,$AL$14:$AM$26,2,FALSE),""))</f>
        <v>2</v>
      </c>
      <c r="BA17" s="69">
        <f t="shared" si="11"/>
        <v>0.5</v>
      </c>
      <c r="BB17" s="69">
        <f t="shared" si="11"/>
        <v>1.5</v>
      </c>
      <c r="BC17" s="69"/>
      <c r="BD17" s="69"/>
      <c r="BE17" s="69"/>
      <c r="BF17" s="69"/>
      <c r="BG17" s="69"/>
      <c r="BI17" s="68" t="s">
        <v>4</v>
      </c>
      <c r="BJ17" s="69"/>
      <c r="BK17" s="69"/>
      <c r="BL17" s="69"/>
      <c r="BM17" s="69"/>
      <c r="BN17" s="69"/>
      <c r="BO17" s="69">
        <f t="shared" ref="BO17:BS20" si="12">ABS(IF(AZ32&gt;0,VLOOKUP(BO$12,$AL$14:$AN$26,3,FALSE)-VLOOKUP($AT17,$AL$14:$AN$26,3,FALSE),""))</f>
        <v>2.5</v>
      </c>
      <c r="BP17" s="69">
        <f t="shared" si="12"/>
        <v>3.5</v>
      </c>
      <c r="BQ17" s="69">
        <f t="shared" si="12"/>
        <v>6</v>
      </c>
      <c r="BR17" s="69"/>
      <c r="BS17" s="69"/>
      <c r="BT17" s="69"/>
      <c r="BU17" s="69"/>
      <c r="BV17" s="69"/>
      <c r="BX17" s="68" t="s">
        <v>4</v>
      </c>
      <c r="BY17" s="69" t="str">
        <f t="shared" si="6"/>
        <v/>
      </c>
      <c r="BZ17" s="69" t="str">
        <f t="shared" si="5"/>
        <v/>
      </c>
      <c r="CA17" s="69" t="str">
        <f t="shared" si="5"/>
        <v/>
      </c>
      <c r="CB17" s="69" t="str">
        <f t="shared" si="9"/>
        <v/>
      </c>
      <c r="CC17" s="69" t="str">
        <f t="shared" si="1"/>
        <v/>
      </c>
      <c r="CD17" s="69">
        <f>IF(SQRT(AZ17^2+BO17^2)=0,"",SQRT(AZ17^2+BO17^2))*10</f>
        <v>32.015621187164243</v>
      </c>
      <c r="CE17" s="69">
        <f t="shared" ref="CE17:CG18" si="13">IF(SQRT(BA17^2+BP17^2)=0,"",SQRT(BA17^2+BP17^2))*10</f>
        <v>35.355339059327378</v>
      </c>
      <c r="CF17" s="69">
        <f t="shared" si="13"/>
        <v>61.846584384264901</v>
      </c>
      <c r="CG17" s="69" t="str">
        <f t="shared" si="1"/>
        <v/>
      </c>
      <c r="CH17" s="69" t="str">
        <f t="shared" si="1"/>
        <v/>
      </c>
      <c r="CI17" s="69" t="str">
        <f t="shared" si="1"/>
        <v/>
      </c>
      <c r="CJ17" s="69" t="str">
        <f t="shared" si="1"/>
        <v/>
      </c>
      <c r="CK17" s="69" t="str">
        <f t="shared" si="1"/>
        <v/>
      </c>
    </row>
    <row r="18" spans="15:89" ht="31" customHeight="1" x14ac:dyDescent="0.15">
      <c r="O18" s="79">
        <f t="shared" si="10"/>
        <v>4</v>
      </c>
      <c r="AL18" s="70" t="s">
        <v>11</v>
      </c>
      <c r="AM18" s="72">
        <v>4</v>
      </c>
      <c r="AN18" s="72">
        <v>7</v>
      </c>
      <c r="AO18" s="72"/>
      <c r="AP18" s="72"/>
      <c r="AT18" s="68" t="s">
        <v>5</v>
      </c>
      <c r="AU18" s="69"/>
      <c r="AV18" s="69"/>
      <c r="AW18" s="69">
        <f t="shared" ref="AW18:BC18" si="14">ABS(IF(AW33&gt;0,VLOOKUP(AW$12,$AL$14:$AM$26,2,FALSE)-VLOOKUP($AT18,$AL$14:$AM$26,2,FALSE),""))</f>
        <v>4</v>
      </c>
      <c r="AX18" s="69"/>
      <c r="AY18" s="69"/>
      <c r="AZ18" s="69"/>
      <c r="BA18" s="69">
        <f t="shared" si="14"/>
        <v>2.5</v>
      </c>
      <c r="BB18" s="69">
        <f t="shared" si="14"/>
        <v>0.5</v>
      </c>
      <c r="BC18" s="69">
        <f t="shared" si="14"/>
        <v>3.5</v>
      </c>
      <c r="BD18" s="69"/>
      <c r="BE18" s="69"/>
      <c r="BF18" s="69"/>
      <c r="BG18" s="69"/>
      <c r="BI18" s="68" t="s">
        <v>5</v>
      </c>
      <c r="BJ18" s="69"/>
      <c r="BK18" s="69"/>
      <c r="BL18" s="69">
        <f>ABS(IF(AW33&gt;0,VLOOKUP(BL$12,$AL$14:$AN$26,3,FALSE)-VLOOKUP($AT18,$AL$14:$AN$26,3,FALSE),""))</f>
        <v>6</v>
      </c>
      <c r="BM18" s="69"/>
      <c r="BN18" s="69"/>
      <c r="BO18" s="69"/>
      <c r="BP18" s="69">
        <f t="shared" si="12"/>
        <v>1</v>
      </c>
      <c r="BQ18" s="69">
        <f t="shared" si="12"/>
        <v>3.5</v>
      </c>
      <c r="BR18" s="69">
        <f t="shared" si="12"/>
        <v>4</v>
      </c>
      <c r="BS18" s="69"/>
      <c r="BT18" s="69"/>
      <c r="BU18" s="69"/>
      <c r="BV18" s="69"/>
      <c r="BX18" s="68" t="s">
        <v>5</v>
      </c>
      <c r="BY18" s="69" t="str">
        <f t="shared" si="6"/>
        <v/>
      </c>
      <c r="BZ18" s="69" t="str">
        <f t="shared" si="5"/>
        <v/>
      </c>
      <c r="CA18" s="69">
        <f>IF(SQRT(AW18^2+BL18^2)=0,"",SQRT(AW18^2+BL18^2))*10</f>
        <v>72.111025509279784</v>
      </c>
      <c r="CB18" s="69" t="str">
        <f t="shared" si="9"/>
        <v/>
      </c>
      <c r="CC18" s="69" t="str">
        <f t="shared" si="1"/>
        <v/>
      </c>
      <c r="CD18" s="69" t="str">
        <f t="shared" si="1"/>
        <v/>
      </c>
      <c r="CE18" s="69">
        <f>IF(SQRT(BA18^2+BP18^2)=0,"",SQRT(BA18^2+BP18^2))*10</f>
        <v>26.92582403567252</v>
      </c>
      <c r="CF18" s="69">
        <f t="shared" si="13"/>
        <v>35.355339059327378</v>
      </c>
      <c r="CG18" s="69">
        <f t="shared" si="13"/>
        <v>53.150729063673253</v>
      </c>
      <c r="CH18" s="69" t="str">
        <f t="shared" si="1"/>
        <v/>
      </c>
      <c r="CI18" s="69" t="str">
        <f t="shared" si="1"/>
        <v/>
      </c>
      <c r="CJ18" s="69" t="str">
        <f t="shared" si="1"/>
        <v/>
      </c>
      <c r="CK18" s="69" t="str">
        <f t="shared" si="1"/>
        <v/>
      </c>
    </row>
    <row r="19" spans="15:89" ht="31" customHeight="1" x14ac:dyDescent="0.15">
      <c r="O19" s="79">
        <f t="shared" si="10"/>
        <v>5</v>
      </c>
      <c r="AL19" s="70" t="s">
        <v>7</v>
      </c>
      <c r="AM19" s="72">
        <v>6</v>
      </c>
      <c r="AN19" s="72">
        <v>6.5</v>
      </c>
      <c r="AO19" s="72"/>
      <c r="AP19" s="72"/>
      <c r="AT19" s="68" t="s">
        <v>6</v>
      </c>
      <c r="AU19" s="69"/>
      <c r="AV19" s="69"/>
      <c r="AW19" s="69"/>
      <c r="AX19" s="69"/>
      <c r="AY19" s="69">
        <f t="shared" ref="AY19:BD21" si="15">ABS(IF(AY34&gt;0,VLOOKUP(AY$12,$AL$14:$AM$26,2,FALSE)-VLOOKUP($AT19,$AL$14:$AM$26,2,FALSE),""))</f>
        <v>0.5</v>
      </c>
      <c r="AZ19" s="69">
        <f t="shared" si="15"/>
        <v>2.5</v>
      </c>
      <c r="BA19" s="69"/>
      <c r="BB19" s="69">
        <f t="shared" si="15"/>
        <v>2</v>
      </c>
      <c r="BC19" s="69">
        <f t="shared" si="15"/>
        <v>1</v>
      </c>
      <c r="BD19" s="69"/>
      <c r="BE19" s="69"/>
      <c r="BF19" s="69"/>
      <c r="BG19" s="69"/>
      <c r="BI19" s="68" t="s">
        <v>6</v>
      </c>
      <c r="BJ19" s="69"/>
      <c r="BK19" s="69"/>
      <c r="BL19" s="69"/>
      <c r="BM19" s="69"/>
      <c r="BN19" s="69">
        <f t="shared" ref="BN19:BO19" si="16">ABS(IF(AY34&gt;0,VLOOKUP(BN$12,$AL$14:$AN$26,3,FALSE)-VLOOKUP($AT19,$AL$14:$AN$26,3,FALSE),""))</f>
        <v>3.5</v>
      </c>
      <c r="BO19" s="69">
        <f t="shared" si="16"/>
        <v>1</v>
      </c>
      <c r="BP19" s="69"/>
      <c r="BQ19" s="69">
        <f t="shared" si="12"/>
        <v>2.5</v>
      </c>
      <c r="BR19" s="69">
        <f t="shared" si="12"/>
        <v>3</v>
      </c>
      <c r="BS19" s="69"/>
      <c r="BT19" s="69"/>
      <c r="BU19" s="69"/>
      <c r="BV19" s="69"/>
      <c r="BX19" s="68" t="s">
        <v>6</v>
      </c>
      <c r="BY19" s="69" t="str">
        <f t="shared" si="6"/>
        <v/>
      </c>
      <c r="BZ19" s="69" t="str">
        <f t="shared" si="5"/>
        <v/>
      </c>
      <c r="CA19" s="69" t="str">
        <f t="shared" si="5"/>
        <v/>
      </c>
      <c r="CB19" s="69" t="str">
        <f t="shared" si="9"/>
        <v/>
      </c>
      <c r="CC19" s="69">
        <f>IF(SQRT(AY19^2+BN19^2)=0,"",SQRT(AY19^2+BN19^2))*10</f>
        <v>35.355339059327378</v>
      </c>
      <c r="CD19" s="69">
        <f>IF(SQRT(AZ19^2+BO19^2)=0,"",SQRT(AZ19^2+BO19^2))*10</f>
        <v>26.92582403567252</v>
      </c>
      <c r="CE19" s="69" t="str">
        <f t="shared" si="1"/>
        <v/>
      </c>
      <c r="CF19" s="69">
        <f t="shared" si="1"/>
        <v>3.2015621187164243</v>
      </c>
      <c r="CG19" s="69">
        <f>IF(SQRT(BC19^2+BR19^2)=0,"",SQRT(BC19^2+BR19^2))*10</f>
        <v>31.622776601683796</v>
      </c>
      <c r="CH19" s="69" t="str">
        <f t="shared" si="1"/>
        <v/>
      </c>
      <c r="CI19" s="69" t="str">
        <f t="shared" si="1"/>
        <v/>
      </c>
      <c r="CJ19" s="69" t="str">
        <f t="shared" si="1"/>
        <v/>
      </c>
      <c r="CK19" s="69" t="str">
        <f t="shared" si="1"/>
        <v/>
      </c>
    </row>
    <row r="20" spans="15:89" ht="31" customHeight="1" x14ac:dyDescent="0.15">
      <c r="O20" s="79">
        <f t="shared" si="10"/>
        <v>6</v>
      </c>
      <c r="AL20" s="70" t="s">
        <v>8</v>
      </c>
      <c r="AM20" s="72">
        <v>9</v>
      </c>
      <c r="AN20" s="72">
        <v>6</v>
      </c>
      <c r="AO20" s="72"/>
      <c r="AP20" s="72"/>
      <c r="AT20" s="68" t="s">
        <v>7</v>
      </c>
      <c r="AU20" s="69"/>
      <c r="AV20" s="69"/>
      <c r="AW20" s="69"/>
      <c r="AX20" s="69"/>
      <c r="AY20" s="69"/>
      <c r="AZ20" s="69"/>
      <c r="BA20" s="69"/>
      <c r="BB20" s="69"/>
      <c r="BC20" s="69">
        <f t="shared" si="15"/>
        <v>3</v>
      </c>
      <c r="BD20" s="69">
        <f t="shared" si="15"/>
        <v>5</v>
      </c>
      <c r="BE20" s="69"/>
      <c r="BF20" s="69"/>
      <c r="BG20" s="69"/>
      <c r="BI20" s="68" t="s">
        <v>7</v>
      </c>
      <c r="BJ20" s="69"/>
      <c r="BK20" s="69"/>
      <c r="BL20" s="69"/>
      <c r="BM20" s="69"/>
      <c r="BN20" s="69"/>
      <c r="BO20" s="69"/>
      <c r="BP20" s="69"/>
      <c r="BQ20" s="69"/>
      <c r="BR20" s="69">
        <f t="shared" si="12"/>
        <v>0.5</v>
      </c>
      <c r="BS20" s="69">
        <f t="shared" si="12"/>
        <v>4.5</v>
      </c>
      <c r="BT20" s="69"/>
      <c r="BU20" s="69"/>
      <c r="BV20" s="69"/>
      <c r="BX20" s="68" t="s">
        <v>7</v>
      </c>
      <c r="BY20" s="69" t="str">
        <f t="shared" si="6"/>
        <v/>
      </c>
      <c r="BZ20" s="69" t="str">
        <f t="shared" si="5"/>
        <v/>
      </c>
      <c r="CA20" s="69" t="str">
        <f t="shared" si="5"/>
        <v/>
      </c>
      <c r="CB20" s="69" t="str">
        <f t="shared" si="9"/>
        <v/>
      </c>
      <c r="CC20" s="69" t="str">
        <f t="shared" si="1"/>
        <v/>
      </c>
      <c r="CD20" s="69" t="str">
        <f t="shared" si="1"/>
        <v/>
      </c>
      <c r="CE20" s="69" t="str">
        <f t="shared" si="1"/>
        <v/>
      </c>
      <c r="CF20" s="69" t="str">
        <f t="shared" si="1"/>
        <v/>
      </c>
      <c r="CG20" s="69">
        <f>IF(SQRT(BC20^2+BR20^2)=0,"",SQRT(BC20^2+BR20^2))*10</f>
        <v>30.413812651491096</v>
      </c>
      <c r="CH20" s="69">
        <f>IF(SQRT(BD20^2+BS20^2)=0,"",SQRT(BD20^2+BS20^2))*10</f>
        <v>67.268120235368542</v>
      </c>
      <c r="CI20" s="69" t="str">
        <f t="shared" si="1"/>
        <v/>
      </c>
      <c r="CJ20" s="69" t="str">
        <f t="shared" si="1"/>
        <v/>
      </c>
      <c r="CK20" s="69" t="str">
        <f t="shared" si="1"/>
        <v/>
      </c>
    </row>
    <row r="21" spans="15:89" ht="31" customHeight="1" x14ac:dyDescent="0.15">
      <c r="O21" s="79">
        <f t="shared" si="10"/>
        <v>7</v>
      </c>
      <c r="AL21" s="70" t="s">
        <v>5</v>
      </c>
      <c r="AM21" s="72">
        <v>5.5</v>
      </c>
      <c r="AN21" s="72">
        <v>10</v>
      </c>
      <c r="AO21" s="72"/>
      <c r="AP21" s="72"/>
      <c r="AT21" s="68" t="s">
        <v>8</v>
      </c>
      <c r="AU21" s="69"/>
      <c r="AV21" s="69"/>
      <c r="AW21" s="69"/>
      <c r="AX21" s="69"/>
      <c r="AY21" s="69"/>
      <c r="AZ21" s="69"/>
      <c r="BA21" s="69"/>
      <c r="BB21" s="69"/>
      <c r="BC21" s="69"/>
      <c r="BD21" s="69">
        <f t="shared" si="15"/>
        <v>2</v>
      </c>
      <c r="BE21" s="69"/>
      <c r="BF21" s="69"/>
      <c r="BG21" s="69"/>
      <c r="BI21" s="68" t="s">
        <v>8</v>
      </c>
      <c r="BJ21" s="69"/>
      <c r="BK21" s="69"/>
      <c r="BL21" s="69"/>
      <c r="BM21" s="69"/>
      <c r="BN21" s="69"/>
      <c r="BO21" s="69"/>
      <c r="BP21" s="69"/>
      <c r="BQ21" s="69"/>
      <c r="BR21" s="69"/>
      <c r="BS21" s="69">
        <f>ABS(IF(BD36&gt;0,VLOOKUP(BS$12,$AL$14:$AN$26,3,FALSE)-VLOOKUP($AT21,$AL$14:$AN$26,3,FALSE),""))</f>
        <v>5</v>
      </c>
      <c r="BT21" s="69"/>
      <c r="BU21" s="69"/>
      <c r="BV21" s="69"/>
      <c r="BX21" s="68" t="s">
        <v>8</v>
      </c>
      <c r="BY21" s="69" t="str">
        <f t="shared" si="6"/>
        <v/>
      </c>
      <c r="BZ21" s="69" t="str">
        <f t="shared" si="5"/>
        <v/>
      </c>
      <c r="CA21" s="69" t="str">
        <f t="shared" si="5"/>
        <v/>
      </c>
      <c r="CB21" s="69" t="str">
        <f t="shared" si="9"/>
        <v/>
      </c>
      <c r="CC21" s="69" t="str">
        <f t="shared" si="1"/>
        <v/>
      </c>
      <c r="CD21" s="69" t="str">
        <f t="shared" si="1"/>
        <v/>
      </c>
      <c r="CE21" s="69" t="str">
        <f t="shared" si="1"/>
        <v/>
      </c>
      <c r="CF21" s="69" t="str">
        <f t="shared" si="1"/>
        <v/>
      </c>
      <c r="CG21" s="69" t="str">
        <f t="shared" si="1"/>
        <v/>
      </c>
      <c r="CH21" s="69">
        <f>IF(SQRT(BD21^2+BS21^2)=0,"",SQRT(BD21^2+BS21^2))*10</f>
        <v>53.851648071345039</v>
      </c>
      <c r="CI21" s="69" t="str">
        <f t="shared" si="1"/>
        <v/>
      </c>
      <c r="CJ21" s="69" t="str">
        <f t="shared" si="1"/>
        <v/>
      </c>
      <c r="CK21" s="69" t="str">
        <f t="shared" si="1"/>
        <v/>
      </c>
    </row>
    <row r="22" spans="15:89" ht="31" customHeight="1" x14ac:dyDescent="0.15">
      <c r="O22" s="79">
        <f t="shared" si="10"/>
        <v>8</v>
      </c>
      <c r="AL22" s="70" t="s">
        <v>4</v>
      </c>
      <c r="AM22" s="72">
        <v>7.5</v>
      </c>
      <c r="AN22" s="72">
        <v>12.5</v>
      </c>
      <c r="AO22" s="72"/>
      <c r="AP22" s="72"/>
      <c r="AT22" s="68" t="s">
        <v>9</v>
      </c>
      <c r="AU22" s="69"/>
      <c r="AV22" s="69"/>
      <c r="AW22" s="69"/>
      <c r="AX22" s="69"/>
      <c r="AY22" s="69"/>
      <c r="AZ22" s="69"/>
      <c r="BA22" s="69"/>
      <c r="BB22" s="69"/>
      <c r="BC22" s="69">
        <f t="shared" ref="BC22" si="17">ABS(IF(BC37&gt;0,VLOOKUP(BC$12,$AL$14:$AM$26,2,FALSE)-VLOOKUP($AT22,$AL$14:$AM$26,2,FALSE),""))</f>
        <v>2</v>
      </c>
      <c r="BD22" s="69"/>
      <c r="BE22" s="69"/>
      <c r="BF22" s="69"/>
      <c r="BG22" s="69"/>
      <c r="BI22" s="68" t="s">
        <v>9</v>
      </c>
      <c r="BJ22" s="69"/>
      <c r="BK22" s="69"/>
      <c r="BL22" s="69"/>
      <c r="BM22" s="69"/>
      <c r="BN22" s="69"/>
      <c r="BO22" s="69"/>
      <c r="BP22" s="69"/>
      <c r="BQ22" s="69"/>
      <c r="BR22" s="69">
        <f>ABS(IF(BC37&gt;0,VLOOKUP(BR$12,$AL$14:$AN$26,3,FALSE)-VLOOKUP($AT22,$AL$14:$AN$26,3,FALSE),""))</f>
        <v>5</v>
      </c>
      <c r="BS22" s="69"/>
      <c r="BT22" s="69"/>
      <c r="BU22" s="69"/>
      <c r="BV22" s="69"/>
      <c r="BX22" s="68" t="s">
        <v>9</v>
      </c>
      <c r="BY22" s="69" t="str">
        <f t="shared" si="6"/>
        <v/>
      </c>
      <c r="BZ22" s="69" t="str">
        <f t="shared" si="5"/>
        <v/>
      </c>
      <c r="CA22" s="69" t="str">
        <f t="shared" si="5"/>
        <v/>
      </c>
      <c r="CB22" s="69" t="str">
        <f t="shared" si="9"/>
        <v/>
      </c>
      <c r="CC22" s="69" t="str">
        <f t="shared" si="1"/>
        <v/>
      </c>
      <c r="CD22" s="69" t="str">
        <f t="shared" si="1"/>
        <v/>
      </c>
      <c r="CE22" s="69" t="str">
        <f t="shared" si="1"/>
        <v/>
      </c>
      <c r="CF22" s="69" t="str">
        <f t="shared" si="1"/>
        <v/>
      </c>
      <c r="CG22" s="69">
        <f>IF(SQRT(BC22^2+BR22^2)=0,"",SQRT(BC22^2+BR22^2))*10</f>
        <v>53.851648071345039</v>
      </c>
      <c r="CH22" s="69" t="str">
        <f t="shared" si="1"/>
        <v/>
      </c>
      <c r="CI22" s="69" t="str">
        <f t="shared" si="1"/>
        <v/>
      </c>
      <c r="CJ22" s="69" t="str">
        <f t="shared" si="1"/>
        <v/>
      </c>
      <c r="CK22" s="69" t="str">
        <f t="shared" si="1"/>
        <v/>
      </c>
    </row>
    <row r="23" spans="15:89" ht="31" customHeight="1" x14ac:dyDescent="0.15">
      <c r="O23" s="79">
        <f t="shared" si="10"/>
        <v>9</v>
      </c>
      <c r="AL23" s="70" t="s">
        <v>0</v>
      </c>
      <c r="AM23" s="72">
        <v>12.5</v>
      </c>
      <c r="AN23" s="72">
        <v>4</v>
      </c>
      <c r="AO23" s="72"/>
      <c r="AP23" s="72"/>
      <c r="AT23" s="68" t="s">
        <v>10</v>
      </c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>
        <f t="shared" ref="BF23:BG23" si="18">ABS(IF(BF38&gt;0,VLOOKUP(BF$12,$AL$14:$AM$26,2,FALSE)-VLOOKUP($AT23,$AL$14:$AM$26,2,FALSE),""))</f>
        <v>2</v>
      </c>
      <c r="BG23" s="69">
        <f t="shared" si="18"/>
        <v>0.5</v>
      </c>
      <c r="BI23" s="68" t="s">
        <v>10</v>
      </c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>
        <f t="shared" ref="BU23:BV23" si="19">ABS(IF(BF38&gt;0,VLOOKUP(BU$12,$AL$14:$AN$26,3,FALSE)-VLOOKUP($AT23,$AL$14:$AN$26,3,FALSE),""))</f>
        <v>0.5</v>
      </c>
      <c r="BV23" s="69">
        <f t="shared" si="19"/>
        <v>5.5</v>
      </c>
      <c r="BX23" s="68" t="s">
        <v>10</v>
      </c>
      <c r="BY23" s="69" t="str">
        <f t="shared" si="6"/>
        <v/>
      </c>
      <c r="BZ23" s="69" t="str">
        <f t="shared" si="5"/>
        <v/>
      </c>
      <c r="CA23" s="69" t="str">
        <f t="shared" si="5"/>
        <v/>
      </c>
      <c r="CB23" s="69" t="str">
        <f t="shared" si="9"/>
        <v/>
      </c>
      <c r="CC23" s="69" t="str">
        <f t="shared" si="1"/>
        <v/>
      </c>
      <c r="CD23" s="69" t="str">
        <f t="shared" si="1"/>
        <v/>
      </c>
      <c r="CE23" s="69" t="str">
        <f t="shared" si="1"/>
        <v/>
      </c>
      <c r="CF23" s="69" t="str">
        <f t="shared" si="1"/>
        <v/>
      </c>
      <c r="CG23" s="69" t="str">
        <f t="shared" si="1"/>
        <v/>
      </c>
      <c r="CH23" s="69" t="str">
        <f t="shared" si="1"/>
        <v/>
      </c>
      <c r="CI23" s="69" t="str">
        <f t="shared" si="1"/>
        <v/>
      </c>
      <c r="CJ23" s="69">
        <f>IF(SQRT(BF23^2+BU23^2)=0,"",SQRT(BF23^2+BU23^2))*10</f>
        <v>20.615528128088304</v>
      </c>
      <c r="CK23" s="69">
        <f>IF(SQRT(BG23^2+BV23^2)=0,"",SQRT(BG23^2+BV23^2))*10</f>
        <v>55.226805085936306</v>
      </c>
    </row>
    <row r="24" spans="15:89" ht="31" customHeight="1" x14ac:dyDescent="0.15">
      <c r="O24" s="79">
        <f t="shared" si="10"/>
        <v>10</v>
      </c>
      <c r="AL24" s="70" t="s">
        <v>6</v>
      </c>
      <c r="AM24" s="72">
        <v>8</v>
      </c>
      <c r="AN24" s="72">
        <v>9</v>
      </c>
      <c r="AO24" s="72"/>
      <c r="AP24" s="72"/>
      <c r="AT24" s="68" t="s">
        <v>11</v>
      </c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>
        <f t="shared" ref="BE24:BG24" si="20">ABS(IF(BE39&gt;0,VLOOKUP(BE$12,$AL$14:$AM$26,2,FALSE)-VLOOKUP($AT24,$AL$14:$AM$26,2,FALSE),""))</f>
        <v>2</v>
      </c>
      <c r="BF24" s="69"/>
      <c r="BG24" s="69">
        <f t="shared" si="20"/>
        <v>2.5</v>
      </c>
      <c r="BI24" s="68" t="s">
        <v>11</v>
      </c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>
        <f>ABS(IF(BE39&gt;0,VLOOKUP(BT$12,$AL$14:$AN$26,3,FALSE)-VLOOKUP($AT24,$AL$14:$AN$26,3,FALSE),""))</f>
        <v>0.5</v>
      </c>
      <c r="BU24" s="69"/>
      <c r="BV24" s="69">
        <f>ABS(IF(BG39&gt;0,VLOOKUP(BV$12,$AL$14:$AN$26,3,FALSE)-VLOOKUP($AT24,$AL$14:$AN$26,3,FALSE),""))</f>
        <v>6</v>
      </c>
      <c r="BX24" s="68" t="s">
        <v>11</v>
      </c>
      <c r="BY24" s="69" t="str">
        <f t="shared" si="6"/>
        <v/>
      </c>
      <c r="BZ24" s="69" t="str">
        <f t="shared" si="5"/>
        <v/>
      </c>
      <c r="CA24" s="69" t="str">
        <f t="shared" si="5"/>
        <v/>
      </c>
      <c r="CB24" s="69" t="str">
        <f t="shared" si="9"/>
        <v/>
      </c>
      <c r="CC24" s="69" t="str">
        <f t="shared" si="1"/>
        <v/>
      </c>
      <c r="CD24" s="69" t="str">
        <f t="shared" si="1"/>
        <v/>
      </c>
      <c r="CE24" s="69" t="str">
        <f t="shared" si="1"/>
        <v/>
      </c>
      <c r="CF24" s="69" t="str">
        <f t="shared" si="1"/>
        <v/>
      </c>
      <c r="CG24" s="69" t="str">
        <f t="shared" si="1"/>
        <v/>
      </c>
      <c r="CH24" s="69" t="str">
        <f t="shared" si="1"/>
        <v/>
      </c>
      <c r="CI24" s="69">
        <f>IF(SQRT(BE24^2+BT24^2)=0,"",SQRT(BE24^2+BT24^2))*10</f>
        <v>20.615528128088304</v>
      </c>
      <c r="CJ24" s="69" t="str">
        <f t="shared" si="1"/>
        <v/>
      </c>
      <c r="CK24" s="69">
        <f>IF(SQRT(BG24^2+BV24^2)=0,"",SQRT(BG24^2+BV24^2))*10</f>
        <v>65</v>
      </c>
    </row>
    <row r="25" spans="15:89" ht="31" customHeight="1" x14ac:dyDescent="0.15">
      <c r="O25" s="79">
        <f t="shared" si="10"/>
        <v>11</v>
      </c>
      <c r="AL25" s="70" t="s">
        <v>2</v>
      </c>
      <c r="AM25" s="72">
        <v>1.5</v>
      </c>
      <c r="AN25" s="72">
        <v>4</v>
      </c>
      <c r="AO25" s="72"/>
      <c r="AP25" s="72"/>
      <c r="AT25" s="68" t="s">
        <v>12</v>
      </c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>
        <f t="shared" ref="BF25" si="21">ABS(IF(BF40&gt;0,VLOOKUP(BF$12,$AL$14:$AM$26,2,FALSE)-VLOOKUP($AT25,$AL$14:$AM$26,2,FALSE),""))</f>
        <v>2.5</v>
      </c>
      <c r="BG25" s="69"/>
      <c r="BI25" s="68" t="s">
        <v>12</v>
      </c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>
        <f>ABS(IF(BF40&gt;0,VLOOKUP(BU$12,$AL$14:$AN$26,3,FALSE)-VLOOKUP($AT25,$AL$14:$AN$26,3,FALSE),""))</f>
        <v>6</v>
      </c>
      <c r="BV25" s="69"/>
      <c r="BX25" s="68" t="s">
        <v>12</v>
      </c>
      <c r="BY25" s="69" t="str">
        <f t="shared" si="6"/>
        <v/>
      </c>
      <c r="BZ25" s="69" t="str">
        <f t="shared" si="5"/>
        <v/>
      </c>
      <c r="CA25" s="69" t="str">
        <f t="shared" si="5"/>
        <v/>
      </c>
      <c r="CB25" s="69" t="str">
        <f t="shared" si="9"/>
        <v/>
      </c>
      <c r="CC25" s="69" t="str">
        <f t="shared" si="1"/>
        <v/>
      </c>
      <c r="CD25" s="69" t="str">
        <f t="shared" si="1"/>
        <v/>
      </c>
      <c r="CE25" s="69" t="str">
        <f t="shared" si="1"/>
        <v/>
      </c>
      <c r="CF25" s="69" t="str">
        <f t="shared" si="1"/>
        <v/>
      </c>
      <c r="CG25" s="69" t="str">
        <f t="shared" si="1"/>
        <v/>
      </c>
      <c r="CH25" s="69" t="str">
        <f t="shared" si="1"/>
        <v/>
      </c>
      <c r="CI25" s="69" t="str">
        <f t="shared" si="1"/>
        <v/>
      </c>
      <c r="CJ25" s="69">
        <f>IF(SQRT(BF25^2+BU25^2)=0,"",SQRT(BF25^2+BU25^2))*10</f>
        <v>65</v>
      </c>
      <c r="CK25" s="69" t="str">
        <f t="shared" si="1"/>
        <v/>
      </c>
    </row>
    <row r="26" spans="15:89" ht="31" customHeight="1" x14ac:dyDescent="0.15">
      <c r="O26" s="79">
        <f t="shared" si="10"/>
        <v>12</v>
      </c>
      <c r="AL26" s="70" t="s">
        <v>10</v>
      </c>
      <c r="AM26" s="72">
        <v>2</v>
      </c>
      <c r="AN26" s="72">
        <v>7.5</v>
      </c>
      <c r="AO26" s="72"/>
      <c r="AP26" s="72"/>
      <c r="AT26" s="61" t="s">
        <v>76</v>
      </c>
    </row>
    <row r="27" spans="15:89" ht="31" customHeight="1" x14ac:dyDescent="0.15">
      <c r="O27" s="79">
        <f t="shared" si="10"/>
        <v>13</v>
      </c>
      <c r="AT27" s="66"/>
      <c r="AU27" s="67" t="s">
        <v>0</v>
      </c>
      <c r="AV27" s="67" t="s">
        <v>1</v>
      </c>
      <c r="AW27" s="67" t="s">
        <v>2</v>
      </c>
      <c r="AX27" s="67" t="s">
        <v>3</v>
      </c>
      <c r="AY27" s="67" t="s">
        <v>4</v>
      </c>
      <c r="AZ27" s="67" t="s">
        <v>5</v>
      </c>
      <c r="BA27" s="67" t="s">
        <v>6</v>
      </c>
      <c r="BB27" s="67" t="s">
        <v>7</v>
      </c>
      <c r="BC27" s="67" t="s">
        <v>8</v>
      </c>
      <c r="BD27" s="67" t="s">
        <v>9</v>
      </c>
      <c r="BE27" s="67" t="s">
        <v>10</v>
      </c>
      <c r="BF27" s="67" t="s">
        <v>11</v>
      </c>
      <c r="BG27" s="67" t="s">
        <v>12</v>
      </c>
      <c r="BI27" s="66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</row>
    <row r="28" spans="15:89" ht="31" customHeight="1" x14ac:dyDescent="0.15">
      <c r="O28" s="79">
        <f t="shared" si="10"/>
        <v>14</v>
      </c>
      <c r="AT28" s="68" t="s">
        <v>0</v>
      </c>
      <c r="AU28" s="69"/>
      <c r="AV28" s="69">
        <f>34230.7692307692/4</f>
        <v>8557.6923076922994</v>
      </c>
      <c r="AW28" s="69">
        <f>11153.8461538462/4</f>
        <v>2788.4615384615499</v>
      </c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I28" s="68"/>
      <c r="BJ28" s="69" t="s">
        <v>68</v>
      </c>
      <c r="BK28" s="69"/>
      <c r="BL28" s="69"/>
      <c r="BM28" s="73">
        <f>SUMPRODUCT(AU28:BG40,BY13:CK25)</f>
        <v>9551475.6943479776</v>
      </c>
      <c r="BN28" s="69"/>
      <c r="BO28" s="69"/>
      <c r="BP28" s="69"/>
      <c r="BQ28" s="69"/>
      <c r="BR28" s="69"/>
      <c r="BS28" s="69"/>
      <c r="BT28" s="69"/>
      <c r="BU28" s="69"/>
      <c r="BV28" s="69"/>
    </row>
    <row r="29" spans="15:89" ht="31" customHeight="1" x14ac:dyDescent="0.15">
      <c r="AT29" s="68" t="s">
        <v>1</v>
      </c>
      <c r="AU29" s="69">
        <f>20961.5384615385/4</f>
        <v>5240.3846153846252</v>
      </c>
      <c r="AV29" s="69"/>
      <c r="AW29" s="69">
        <f>31923.0769230769/4</f>
        <v>7980.769230769225</v>
      </c>
      <c r="AX29" s="69">
        <f>15384.6153846154/4</f>
        <v>3846.1538461538498</v>
      </c>
      <c r="AY29" s="69"/>
      <c r="AZ29" s="69"/>
      <c r="BA29" s="69"/>
      <c r="BB29" s="69"/>
      <c r="BC29" s="69"/>
      <c r="BD29" s="69"/>
      <c r="BE29" s="69"/>
      <c r="BF29" s="69"/>
      <c r="BG29" s="69"/>
      <c r="BI29" s="68"/>
      <c r="BJ29" s="69" t="s">
        <v>75</v>
      </c>
      <c r="BK29" s="69"/>
      <c r="BL29" s="69"/>
      <c r="BM29" s="69">
        <f>SUM(AU28:BG40)</f>
        <v>188749.99999999994</v>
      </c>
      <c r="BN29" s="69"/>
      <c r="BO29" s="69"/>
      <c r="BP29" s="69"/>
      <c r="BQ29" s="69"/>
      <c r="BR29" s="69"/>
      <c r="BS29" s="69"/>
      <c r="BT29" s="69"/>
      <c r="BU29" s="69"/>
      <c r="BV29" s="69"/>
    </row>
    <row r="30" spans="15:89" ht="31" customHeight="1" x14ac:dyDescent="0.15">
      <c r="AT30" s="68" t="s">
        <v>2</v>
      </c>
      <c r="AU30" s="69"/>
      <c r="AV30" s="69"/>
      <c r="AW30" s="69"/>
      <c r="AX30" s="69">
        <f>56923.0769230769/4</f>
        <v>14230.769230769225</v>
      </c>
      <c r="AY30" s="69"/>
      <c r="AZ30" s="69"/>
      <c r="BA30" s="69"/>
      <c r="BB30" s="69"/>
      <c r="BC30" s="69">
        <f>6153.84615384615/4</f>
        <v>1538.4615384615374</v>
      </c>
      <c r="BD30" s="69"/>
      <c r="BE30" s="69"/>
      <c r="BF30" s="69"/>
      <c r="BG30" s="69"/>
      <c r="BI30" s="68"/>
      <c r="BJ30" s="69" t="s">
        <v>69</v>
      </c>
      <c r="BK30" s="69"/>
      <c r="BL30" s="69"/>
      <c r="BM30" s="74">
        <f>BM28/BM29</f>
        <v>50.603844738267448</v>
      </c>
      <c r="BN30" s="69"/>
      <c r="BO30" s="69"/>
      <c r="BP30" s="69"/>
      <c r="BQ30" s="69"/>
      <c r="BR30" s="69"/>
      <c r="BS30" s="69"/>
      <c r="BT30" s="69"/>
      <c r="BU30" s="69"/>
      <c r="BV30" s="69"/>
    </row>
    <row r="31" spans="15:89" ht="31" customHeight="1" x14ac:dyDescent="0.15">
      <c r="AT31" s="68" t="s">
        <v>3</v>
      </c>
      <c r="AU31" s="69"/>
      <c r="AV31" s="69"/>
      <c r="AW31" s="69">
        <f>6153.84615384615/4</f>
        <v>1538.4615384615374</v>
      </c>
      <c r="AX31" s="69"/>
      <c r="AY31" s="69"/>
      <c r="AZ31" s="69"/>
      <c r="BA31" s="69">
        <f>9230.76923076923/4</f>
        <v>2307.6923076923076</v>
      </c>
      <c r="BB31" s="69">
        <f>15192.3076923077/4</f>
        <v>3798.0769230769251</v>
      </c>
      <c r="BC31" s="69">
        <f>41730.7692307692/4</f>
        <v>10432.692307692299</v>
      </c>
      <c r="BD31" s="69"/>
      <c r="BE31" s="69"/>
      <c r="BF31" s="69"/>
      <c r="BG31" s="69"/>
      <c r="BI31" s="68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</row>
    <row r="32" spans="15:89" ht="31" customHeight="1" x14ac:dyDescent="0.15">
      <c r="AT32" s="68" t="s">
        <v>4</v>
      </c>
      <c r="AU32" s="69"/>
      <c r="AV32" s="69"/>
      <c r="AW32" s="69"/>
      <c r="AX32" s="69"/>
      <c r="AY32" s="69"/>
      <c r="AZ32" s="69">
        <f>41538.4615384615/4</f>
        <v>10384.615384615376</v>
      </c>
      <c r="BA32" s="69">
        <f>37307.6923076923/4</f>
        <v>9326.9230769230744</v>
      </c>
      <c r="BB32" s="69">
        <f>4615.38461538462/4</f>
        <v>1153.8461538461549</v>
      </c>
      <c r="BC32" s="69"/>
      <c r="BD32" s="69"/>
      <c r="BE32" s="69"/>
      <c r="BF32" s="69"/>
      <c r="BG32" s="69"/>
      <c r="BI32" s="68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</row>
    <row r="33" spans="46:74" ht="31" customHeight="1" x14ac:dyDescent="0.15">
      <c r="AT33" s="68" t="s">
        <v>5</v>
      </c>
      <c r="AU33" s="69"/>
      <c r="AV33" s="69"/>
      <c r="AW33" s="69">
        <f>13846.1538461538/4</f>
        <v>3461.5384615384501</v>
      </c>
      <c r="AX33" s="69"/>
      <c r="AY33" s="69"/>
      <c r="AZ33" s="69"/>
      <c r="BA33" s="69">
        <f>36923.0769230769/4</f>
        <v>9230.769230769225</v>
      </c>
      <c r="BB33" s="69">
        <f>14230.7692307692/4</f>
        <v>3557.6923076922999</v>
      </c>
      <c r="BC33" s="69">
        <f>14615.3846153846/4</f>
        <v>3653.8461538461502</v>
      </c>
      <c r="BD33" s="69"/>
      <c r="BE33" s="69"/>
      <c r="BF33" s="69"/>
      <c r="BG33" s="69"/>
      <c r="BI33" s="68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</row>
    <row r="34" spans="46:74" ht="31" customHeight="1" x14ac:dyDescent="0.15">
      <c r="AT34" s="68" t="s">
        <v>6</v>
      </c>
      <c r="AU34" s="69"/>
      <c r="AV34" s="69"/>
      <c r="AW34" s="69"/>
      <c r="AX34" s="69"/>
      <c r="AY34" s="69">
        <f>16923.0769230769/4</f>
        <v>4230.769230769225</v>
      </c>
      <c r="AZ34" s="69">
        <f>17307.6923076923/4</f>
        <v>4326.9230769230753</v>
      </c>
      <c r="BA34" s="69"/>
      <c r="BB34" s="69">
        <f>32307.6923076923/4</f>
        <v>8076.9230769230753</v>
      </c>
      <c r="BC34" s="69">
        <f>16923.0769230769/4</f>
        <v>4230.769230769225</v>
      </c>
      <c r="BD34" s="69"/>
      <c r="BE34" s="69"/>
      <c r="BF34" s="69"/>
      <c r="BG34" s="69"/>
      <c r="BI34" s="68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  <c r="BV34" s="69"/>
    </row>
    <row r="35" spans="46:74" ht="31" customHeight="1" x14ac:dyDescent="0.15">
      <c r="AT35" s="68" t="s">
        <v>7</v>
      </c>
      <c r="AU35" s="69"/>
      <c r="AV35" s="69"/>
      <c r="AW35" s="69"/>
      <c r="AX35" s="69"/>
      <c r="AY35" s="69"/>
      <c r="AZ35" s="69"/>
      <c r="BA35" s="69"/>
      <c r="BB35" s="69"/>
      <c r="BC35" s="69">
        <f>20961.5384615385/4</f>
        <v>5240.3846153846252</v>
      </c>
      <c r="BD35" s="69">
        <f>18076.9230769231/4</f>
        <v>4519.230769230775</v>
      </c>
      <c r="BE35" s="69"/>
      <c r="BF35" s="69"/>
      <c r="BG35" s="69"/>
      <c r="BI35" s="68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U35" s="69"/>
      <c r="BV35" s="69"/>
    </row>
    <row r="36" spans="46:74" ht="31" customHeight="1" x14ac:dyDescent="0.15">
      <c r="AT36" s="68" t="s">
        <v>8</v>
      </c>
      <c r="AU36" s="69"/>
      <c r="AV36" s="69"/>
      <c r="AW36" s="69"/>
      <c r="AX36" s="69"/>
      <c r="AY36" s="69"/>
      <c r="AZ36" s="69"/>
      <c r="BA36" s="69"/>
      <c r="BB36" s="69"/>
      <c r="BC36" s="69"/>
      <c r="BD36" s="69">
        <f>80384.6153846154/4</f>
        <v>20096.153846153851</v>
      </c>
      <c r="BE36" s="69"/>
      <c r="BF36" s="69"/>
      <c r="BG36" s="69"/>
      <c r="BI36" s="68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</row>
    <row r="37" spans="46:74" ht="31" customHeight="1" x14ac:dyDescent="0.15">
      <c r="AT37" s="68" t="s">
        <v>9</v>
      </c>
      <c r="AU37" s="69"/>
      <c r="AV37" s="69"/>
      <c r="AW37" s="69"/>
      <c r="AX37" s="69"/>
      <c r="AY37" s="69"/>
      <c r="AZ37" s="69"/>
      <c r="BA37" s="69"/>
      <c r="BB37" s="69"/>
      <c r="BC37" s="69">
        <f>4615.38461538462/4</f>
        <v>1153.8461538461549</v>
      </c>
      <c r="BD37" s="69"/>
      <c r="BE37" s="69"/>
      <c r="BF37" s="69"/>
      <c r="BG37" s="69"/>
      <c r="BI37" s="68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</row>
    <row r="38" spans="46:74" ht="31" customHeight="1" x14ac:dyDescent="0.15">
      <c r="AT38" s="68" t="s">
        <v>10</v>
      </c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>
        <f>16923.0769230769/4</f>
        <v>4230.769230769225</v>
      </c>
      <c r="BG38" s="69">
        <f>26730.7692307692/4</f>
        <v>6682.6923076923003</v>
      </c>
      <c r="BI38" s="68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</row>
    <row r="39" spans="46:74" ht="31" customHeight="1" x14ac:dyDescent="0.15">
      <c r="AT39" s="68" t="s">
        <v>11</v>
      </c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>
        <f>26730.7692307692/4</f>
        <v>6682.6923076923003</v>
      </c>
      <c r="BF39" s="69"/>
      <c r="BG39" s="69">
        <f>45000/4</f>
        <v>11250</v>
      </c>
      <c r="BI39" s="68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</row>
    <row r="40" spans="46:74" ht="31" customHeight="1" x14ac:dyDescent="0.15">
      <c r="AT40" s="68" t="s">
        <v>12</v>
      </c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>
        <f>20000/4</f>
        <v>5000</v>
      </c>
      <c r="BG40" s="69"/>
      <c r="BI40" s="68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</row>
    <row r="53" spans="13:13" ht="31" customHeight="1" x14ac:dyDescent="0.15">
      <c r="M53" s="75"/>
    </row>
  </sheetData>
  <conditionalFormatting sqref="AU13:BG25">
    <cfRule type="colorScale" priority="24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AU28:BG40">
    <cfRule type="colorScale" priority="23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J14">
    <cfRule type="colorScale" priority="18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J25:BT25 BJ13 BM13:BV13 BK14 BJ15:BL15 BN14:BV14 BN15:BQ15 BJ16:BK16 BS15:BV16 BM16:BO16 BJ17:BN17 BR17:BV17 BJ18:BK18 BM18:BO18 BJ19:BM19 BP19 BS18:BV19 BJ20:BQ20 BJ21:BR21 BT20:BV21 BJ22:BQ22 BS22:BV22 BJ23:BT23 BJ24:BS24 BU24 BV25">
    <cfRule type="colorScale" priority="2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J28:BV40">
    <cfRule type="colorScale" priority="20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K13:BL13">
    <cfRule type="colorScale" priority="19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L16">
    <cfRule type="colorScale" priority="13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L18">
    <cfRule type="colorScale" priority="10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L14:BM14">
    <cfRule type="colorScale" priority="17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M15">
    <cfRule type="colorScale" priority="16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N19:BO19">
    <cfRule type="colorScale" priority="9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O17:BQ17">
    <cfRule type="colorScale" priority="1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P16:BR16">
    <cfRule type="colorScale" priority="14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P18:BR18">
    <cfRule type="colorScale" priority="1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Q19:BR19">
    <cfRule type="colorScale" priority="8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R15">
    <cfRule type="colorScale" priority="15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R22">
    <cfRule type="colorScale" priority="5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R20:BS20">
    <cfRule type="colorScale" priority="7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S21">
    <cfRule type="colorScale" priority="6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T24">
    <cfRule type="colorScale" priority="3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U25">
    <cfRule type="colorScale" priority="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U23:BV23">
    <cfRule type="colorScale" priority="4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V24">
    <cfRule type="colorScale" priority="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Y13:CK25">
    <cfRule type="colorScale" priority="2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9751A-D1E1-6244-8692-168E7B133F9E}">
  <dimension ref="A2:CU53"/>
  <sheetViews>
    <sheetView topLeftCell="BC4" zoomScale="116" zoomScaleNormal="116" workbookViewId="0">
      <selection activeCell="CM13" sqref="CM13"/>
    </sheetView>
  </sheetViews>
  <sheetFormatPr baseColWidth="10" defaultColWidth="5.1640625" defaultRowHeight="31" customHeight="1" x14ac:dyDescent="0.15"/>
  <cols>
    <col min="1" max="16" width="5.1640625" style="40"/>
    <col min="17" max="46" width="0" style="40" hidden="1" customWidth="1"/>
    <col min="47" max="90" width="5.1640625" style="40"/>
    <col min="91" max="91" width="9.1640625" style="40" bestFit="1" customWidth="1"/>
    <col min="92" max="16384" width="5.1640625" style="40"/>
  </cols>
  <sheetData>
    <row r="2" spans="1:99" ht="31" customHeight="1" x14ac:dyDescent="0.15">
      <c r="A2" s="41"/>
      <c r="B2" s="42"/>
      <c r="C2" s="42"/>
      <c r="D2" s="42"/>
      <c r="E2" s="42"/>
      <c r="F2" s="42"/>
      <c r="G2" s="42"/>
      <c r="H2" s="42"/>
      <c r="I2" s="41"/>
      <c r="J2" s="42"/>
      <c r="K2" s="42"/>
      <c r="L2" s="42"/>
      <c r="M2" s="42"/>
      <c r="R2" s="41"/>
      <c r="S2" s="42"/>
      <c r="T2" s="42"/>
      <c r="U2" s="44" t="s">
        <v>60</v>
      </c>
      <c r="Z2" s="43"/>
      <c r="AC2" s="44"/>
      <c r="AD2" s="44"/>
      <c r="AE2" s="43"/>
      <c r="AF2" s="43"/>
      <c r="AG2" s="44"/>
      <c r="AH2" s="42"/>
      <c r="AJ2" s="44"/>
      <c r="AX2" s="44"/>
    </row>
    <row r="3" spans="1:99" ht="31" customHeight="1" x14ac:dyDescent="0.15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R3" s="41"/>
      <c r="S3" s="42"/>
      <c r="T3" s="42"/>
      <c r="U3" s="44" t="s">
        <v>61</v>
      </c>
      <c r="Z3" s="43"/>
      <c r="AC3" s="44"/>
      <c r="AD3" s="44"/>
      <c r="AE3" s="43"/>
      <c r="AF3" s="43"/>
      <c r="AG3" s="44"/>
      <c r="AH3" s="42"/>
      <c r="AJ3" s="44"/>
      <c r="AX3" s="44"/>
    </row>
    <row r="4" spans="1:99" ht="31" customHeight="1" x14ac:dyDescent="0.15">
      <c r="R4" s="41"/>
      <c r="U4" s="44" t="s">
        <v>62</v>
      </c>
      <c r="Z4" s="43"/>
      <c r="AC4" s="43"/>
      <c r="AD4" s="43"/>
      <c r="AE4" s="43"/>
      <c r="AF4" s="43"/>
      <c r="AG4" s="44"/>
      <c r="AJ4" s="43"/>
      <c r="AX4" s="44"/>
    </row>
    <row r="5" spans="1:99" ht="31" customHeight="1" x14ac:dyDescent="0.15">
      <c r="R5" s="41"/>
      <c r="Z5" s="43"/>
      <c r="AA5" s="44"/>
      <c r="AB5" s="43"/>
      <c r="AC5" s="43"/>
      <c r="AD5" s="43"/>
      <c r="AE5" s="43"/>
      <c r="AF5" s="43"/>
      <c r="AG5" s="44"/>
    </row>
    <row r="6" spans="1:99" ht="31" customHeight="1" x14ac:dyDescent="0.15">
      <c r="R6" s="41"/>
      <c r="U6" s="44" t="s">
        <v>63</v>
      </c>
      <c r="Z6" s="43"/>
      <c r="AA6" s="44"/>
      <c r="AB6" s="43"/>
      <c r="AC6" s="43"/>
      <c r="AD6" s="43"/>
      <c r="AE6" s="43"/>
      <c r="AF6" s="43"/>
      <c r="AG6" s="44"/>
      <c r="AX6" s="44" t="s">
        <v>63</v>
      </c>
    </row>
    <row r="7" spans="1:99" ht="31" customHeight="1" x14ac:dyDescent="0.15">
      <c r="R7" s="41"/>
      <c r="U7" s="44" t="s">
        <v>66</v>
      </c>
      <c r="AA7" s="41"/>
      <c r="AG7" s="41"/>
      <c r="AX7" s="44" t="s">
        <v>66</v>
      </c>
      <c r="BT7" s="47"/>
    </row>
    <row r="8" spans="1:99" ht="31" customHeight="1" x14ac:dyDescent="0.15">
      <c r="R8" s="41"/>
      <c r="AX8" s="44" t="s">
        <v>77</v>
      </c>
      <c r="AY8" s="44"/>
      <c r="AZ8" s="44"/>
      <c r="BA8" s="82">
        <f>30*30*10*10</f>
        <v>90000</v>
      </c>
      <c r="BB8" s="82"/>
      <c r="BC8" s="82"/>
      <c r="BD8" s="82"/>
      <c r="BE8" s="82"/>
      <c r="BF8" s="44" t="s">
        <v>78</v>
      </c>
      <c r="BG8" s="44"/>
      <c r="BH8" s="44"/>
      <c r="BI8" s="44"/>
      <c r="BJ8" s="44"/>
      <c r="BK8" s="44"/>
    </row>
    <row r="9" spans="1:99" ht="31" customHeight="1" thickBot="1" x14ac:dyDescent="0.2">
      <c r="R9" s="41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</row>
    <row r="10" spans="1:99" ht="31" customHeight="1" x14ac:dyDescent="0.15">
      <c r="R10" s="41"/>
      <c r="S10" s="47">
        <v>1</v>
      </c>
      <c r="T10" s="48">
        <f>S10+1</f>
        <v>2</v>
      </c>
      <c r="U10" s="48">
        <f t="shared" ref="U10:AN10" si="0">T10+1</f>
        <v>3</v>
      </c>
      <c r="V10" s="48">
        <f t="shared" si="0"/>
        <v>4</v>
      </c>
      <c r="W10" s="48">
        <f t="shared" si="0"/>
        <v>5</v>
      </c>
      <c r="X10" s="48">
        <f t="shared" si="0"/>
        <v>6</v>
      </c>
      <c r="Y10" s="48">
        <f t="shared" si="0"/>
        <v>7</v>
      </c>
      <c r="Z10" s="48">
        <f t="shared" si="0"/>
        <v>8</v>
      </c>
      <c r="AA10" s="48">
        <f t="shared" si="0"/>
        <v>9</v>
      </c>
      <c r="AB10" s="48">
        <f t="shared" si="0"/>
        <v>10</v>
      </c>
      <c r="AC10" s="48">
        <f t="shared" si="0"/>
        <v>11</v>
      </c>
      <c r="AD10" s="48">
        <f t="shared" si="0"/>
        <v>12</v>
      </c>
      <c r="AE10" s="48">
        <f t="shared" si="0"/>
        <v>13</v>
      </c>
      <c r="AF10" s="48">
        <f t="shared" si="0"/>
        <v>14</v>
      </c>
      <c r="AG10" s="48">
        <f t="shared" si="0"/>
        <v>15</v>
      </c>
      <c r="AH10" s="48">
        <f t="shared" si="0"/>
        <v>16</v>
      </c>
      <c r="AI10" s="48">
        <f t="shared" si="0"/>
        <v>17</v>
      </c>
      <c r="AJ10" s="48">
        <f t="shared" si="0"/>
        <v>18</v>
      </c>
      <c r="AK10" s="48">
        <f t="shared" si="0"/>
        <v>19</v>
      </c>
      <c r="AL10" s="48">
        <f t="shared" si="0"/>
        <v>20</v>
      </c>
      <c r="AM10" s="48">
        <f t="shared" si="0"/>
        <v>21</v>
      </c>
      <c r="AN10" s="48">
        <f t="shared" si="0"/>
        <v>22</v>
      </c>
      <c r="AO10" s="47"/>
      <c r="AW10" s="53"/>
      <c r="AX10" s="54">
        <v>1</v>
      </c>
      <c r="AY10" s="55">
        <f>AX10+1</f>
        <v>2</v>
      </c>
      <c r="AZ10" s="55">
        <f t="shared" ref="AZ10:BS10" si="1">AY10+1</f>
        <v>3</v>
      </c>
      <c r="BA10" s="55">
        <f t="shared" si="1"/>
        <v>4</v>
      </c>
      <c r="BB10" s="55">
        <f t="shared" si="1"/>
        <v>5</v>
      </c>
      <c r="BC10" s="55">
        <f t="shared" si="1"/>
        <v>6</v>
      </c>
      <c r="BD10" s="55">
        <f t="shared" si="1"/>
        <v>7</v>
      </c>
      <c r="BE10" s="55">
        <f t="shared" si="1"/>
        <v>8</v>
      </c>
      <c r="BF10" s="55">
        <f t="shared" si="1"/>
        <v>9</v>
      </c>
      <c r="BG10" s="55">
        <f t="shared" si="1"/>
        <v>10</v>
      </c>
      <c r="BH10" s="55">
        <f t="shared" si="1"/>
        <v>11</v>
      </c>
      <c r="BI10" s="55">
        <f t="shared" si="1"/>
        <v>12</v>
      </c>
      <c r="BJ10" s="55">
        <f t="shared" si="1"/>
        <v>13</v>
      </c>
      <c r="BK10" s="55">
        <f t="shared" si="1"/>
        <v>14</v>
      </c>
      <c r="BL10" s="55">
        <f t="shared" si="1"/>
        <v>15</v>
      </c>
      <c r="BM10" s="55">
        <f t="shared" si="1"/>
        <v>16</v>
      </c>
      <c r="BN10" s="55">
        <f t="shared" si="1"/>
        <v>17</v>
      </c>
      <c r="BO10" s="55">
        <f t="shared" si="1"/>
        <v>18</v>
      </c>
      <c r="BP10" s="55">
        <f t="shared" si="1"/>
        <v>19</v>
      </c>
      <c r="BQ10" s="55">
        <f t="shared" si="1"/>
        <v>20</v>
      </c>
      <c r="BR10" s="55">
        <f t="shared" si="1"/>
        <v>21</v>
      </c>
      <c r="BS10" s="55">
        <f t="shared" si="1"/>
        <v>22</v>
      </c>
      <c r="BT10" s="55">
        <f t="shared" ref="BT10" si="2">BS10+1</f>
        <v>23</v>
      </c>
      <c r="BU10" s="55">
        <f t="shared" ref="BU10" si="3">BT10+1</f>
        <v>24</v>
      </c>
      <c r="BV10" s="55">
        <f t="shared" ref="BV10" si="4">BU10+1</f>
        <v>25</v>
      </c>
      <c r="BW10" s="55">
        <f t="shared" ref="BW10" si="5">BV10+1</f>
        <v>26</v>
      </c>
      <c r="BX10" s="55">
        <f t="shared" ref="BX10" si="6">BW10+1</f>
        <v>27</v>
      </c>
      <c r="BY10" s="55">
        <f t="shared" ref="BY10" si="7">BX10+1</f>
        <v>28</v>
      </c>
      <c r="BZ10" s="55">
        <f t="shared" ref="BZ10" si="8">BY10+1</f>
        <v>29</v>
      </c>
      <c r="CA10" s="56">
        <f t="shared" ref="CA10" si="9">BZ10+1</f>
        <v>30</v>
      </c>
      <c r="CI10" s="66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</row>
    <row r="11" spans="1:99" ht="31" customHeight="1" x14ac:dyDescent="0.15">
      <c r="R11" s="45">
        <v>1</v>
      </c>
      <c r="AW11" s="57">
        <v>1</v>
      </c>
      <c r="CA11" s="49"/>
      <c r="CI11" s="68"/>
      <c r="CJ11" s="69" t="s">
        <v>68</v>
      </c>
      <c r="CK11" s="69"/>
      <c r="CL11" s="69"/>
      <c r="CM11" s="73">
        <f>'step 6 distance corner 1'!BM28+'step 6 distance corner 2'!BM28+'step 6 distance corner 3'!BM28+'step 6 distance corner 4'!BM28</f>
        <v>33985541.151110493</v>
      </c>
      <c r="CN11" s="69"/>
      <c r="CO11" s="69"/>
      <c r="CP11" s="69"/>
      <c r="CQ11" s="69"/>
      <c r="CR11" s="69"/>
      <c r="CS11" s="69"/>
      <c r="CT11" s="69"/>
      <c r="CU11" s="69"/>
    </row>
    <row r="12" spans="1:99" ht="31" customHeight="1" x14ac:dyDescent="0.15">
      <c r="R12" s="40">
        <f>R11+1</f>
        <v>2</v>
      </c>
      <c r="AW12" s="58">
        <f>AW11+1</f>
        <v>2</v>
      </c>
      <c r="CA12" s="49"/>
      <c r="CI12" s="68"/>
      <c r="CJ12" s="69" t="s">
        <v>75</v>
      </c>
      <c r="CK12" s="69"/>
      <c r="CL12" s="69"/>
      <c r="CM12" s="69">
        <f>'step 6 distance corner 1'!BM29+'step 6 distance corner 2'!BM29+'step 6 distance corner 3'!BM29+'step 6 distance corner 4'!BM29</f>
        <v>754999.99999999977</v>
      </c>
      <c r="CN12" s="69"/>
      <c r="CO12" s="69"/>
      <c r="CP12" s="69"/>
      <c r="CQ12" s="69"/>
      <c r="CR12" s="69"/>
      <c r="CS12" s="69"/>
      <c r="CT12" s="69"/>
      <c r="CU12" s="69"/>
    </row>
    <row r="13" spans="1:99" ht="31" customHeight="1" x14ac:dyDescent="0.15">
      <c r="R13" s="40">
        <f t="shared" ref="R13:R42" si="10">R12+1</f>
        <v>3</v>
      </c>
      <c r="AW13" s="58">
        <f t="shared" ref="AW13:AW40" si="11">AW12+1</f>
        <v>3</v>
      </c>
      <c r="CA13" s="49"/>
      <c r="CI13" s="68"/>
      <c r="CJ13" s="69" t="s">
        <v>69</v>
      </c>
      <c r="CK13" s="69"/>
      <c r="CL13" s="69"/>
      <c r="CM13" s="74">
        <f>CM11/CM12</f>
        <v>45.013961789550336</v>
      </c>
      <c r="CN13" s="69"/>
      <c r="CO13" s="69"/>
      <c r="CP13" s="69"/>
      <c r="CQ13" s="69"/>
      <c r="CR13" s="69"/>
      <c r="CS13" s="69"/>
      <c r="CT13" s="69"/>
      <c r="CU13" s="69"/>
    </row>
    <row r="14" spans="1:99" ht="31" customHeight="1" x14ac:dyDescent="0.15">
      <c r="R14" s="40">
        <f t="shared" si="10"/>
        <v>4</v>
      </c>
      <c r="AW14" s="58">
        <f t="shared" si="11"/>
        <v>4</v>
      </c>
      <c r="CA14" s="49"/>
      <c r="CI14" s="68"/>
      <c r="CJ14" s="69"/>
      <c r="CK14" s="69"/>
      <c r="CL14" s="69"/>
      <c r="CM14" s="69"/>
      <c r="CN14" s="69"/>
      <c r="CO14" s="69"/>
      <c r="CP14" s="69"/>
      <c r="CQ14" s="69"/>
      <c r="CR14" s="69"/>
      <c r="CS14" s="69"/>
      <c r="CT14" s="69"/>
      <c r="CU14" s="69"/>
    </row>
    <row r="15" spans="1:99" ht="31" customHeight="1" x14ac:dyDescent="0.15">
      <c r="R15" s="40">
        <f t="shared" si="10"/>
        <v>5</v>
      </c>
      <c r="AW15" s="58">
        <f t="shared" si="11"/>
        <v>5</v>
      </c>
      <c r="CA15" s="49"/>
      <c r="CI15" s="68"/>
      <c r="CJ15" s="69"/>
      <c r="CK15" s="69"/>
      <c r="CL15" s="69"/>
      <c r="CM15" s="69"/>
      <c r="CN15" s="69"/>
      <c r="CO15" s="69"/>
      <c r="CP15" s="69"/>
      <c r="CQ15" s="69"/>
      <c r="CR15" s="69"/>
      <c r="CS15" s="69"/>
      <c r="CT15" s="69"/>
      <c r="CU15" s="69"/>
    </row>
    <row r="16" spans="1:99" ht="31" customHeight="1" x14ac:dyDescent="0.15">
      <c r="R16" s="40">
        <f t="shared" si="10"/>
        <v>6</v>
      </c>
      <c r="AW16" s="58">
        <f t="shared" si="11"/>
        <v>6</v>
      </c>
      <c r="CA16" s="49"/>
      <c r="CI16" s="68"/>
      <c r="CJ16" s="69"/>
      <c r="CK16" s="69"/>
      <c r="CL16" s="69"/>
      <c r="CM16" s="69"/>
      <c r="CN16" s="69"/>
      <c r="CO16" s="69"/>
      <c r="CP16" s="69"/>
      <c r="CQ16" s="69"/>
      <c r="CR16" s="69"/>
      <c r="CS16" s="69"/>
      <c r="CT16" s="69"/>
      <c r="CU16" s="69"/>
    </row>
    <row r="17" spans="18:99" ht="31" customHeight="1" x14ac:dyDescent="0.15">
      <c r="R17" s="40">
        <f t="shared" si="10"/>
        <v>7</v>
      </c>
      <c r="AW17" s="58">
        <f t="shared" si="11"/>
        <v>7</v>
      </c>
      <c r="CA17" s="49"/>
      <c r="CI17" s="68"/>
      <c r="CJ17" s="69"/>
      <c r="CK17" s="69"/>
      <c r="CL17" s="69"/>
      <c r="CM17" s="69"/>
      <c r="CN17" s="69"/>
      <c r="CO17" s="69"/>
      <c r="CP17" s="69"/>
      <c r="CQ17" s="69"/>
      <c r="CR17" s="69"/>
      <c r="CS17" s="69"/>
      <c r="CT17" s="69"/>
      <c r="CU17" s="69"/>
    </row>
    <row r="18" spans="18:99" ht="31" customHeight="1" x14ac:dyDescent="0.15">
      <c r="R18" s="40">
        <f t="shared" si="10"/>
        <v>8</v>
      </c>
      <c r="AW18" s="58">
        <f t="shared" si="11"/>
        <v>8</v>
      </c>
      <c r="CA18" s="49"/>
      <c r="CI18" s="68"/>
      <c r="CJ18" s="69"/>
      <c r="CK18" s="69"/>
      <c r="CL18" s="69"/>
      <c r="CM18" s="69"/>
      <c r="CN18" s="69"/>
      <c r="CO18" s="69"/>
      <c r="CP18" s="69"/>
      <c r="CQ18" s="69"/>
      <c r="CR18" s="69"/>
      <c r="CS18" s="69"/>
      <c r="CT18" s="69"/>
      <c r="CU18" s="69"/>
    </row>
    <row r="19" spans="18:99" ht="31" customHeight="1" x14ac:dyDescent="0.15">
      <c r="R19" s="40">
        <f t="shared" si="10"/>
        <v>9</v>
      </c>
      <c r="AW19" s="58">
        <f t="shared" si="11"/>
        <v>9</v>
      </c>
      <c r="CA19" s="49"/>
      <c r="CI19" s="68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69"/>
    </row>
    <row r="20" spans="18:99" ht="31" customHeight="1" x14ac:dyDescent="0.15">
      <c r="R20" s="40">
        <f t="shared" si="10"/>
        <v>10</v>
      </c>
      <c r="AW20" s="58">
        <f t="shared" si="11"/>
        <v>10</v>
      </c>
      <c r="CA20" s="49"/>
      <c r="CI20" s="68"/>
      <c r="CJ20" s="69"/>
      <c r="CK20" s="69"/>
      <c r="CL20" s="69"/>
      <c r="CM20" s="69"/>
      <c r="CN20" s="69"/>
      <c r="CO20" s="69"/>
      <c r="CP20" s="69"/>
      <c r="CQ20" s="69"/>
      <c r="CR20" s="69"/>
      <c r="CS20" s="69"/>
      <c r="CT20" s="69"/>
      <c r="CU20" s="69"/>
    </row>
    <row r="21" spans="18:99" ht="31" customHeight="1" x14ac:dyDescent="0.15">
      <c r="R21" s="40">
        <f t="shared" si="10"/>
        <v>11</v>
      </c>
      <c r="AW21" s="58">
        <f t="shared" si="11"/>
        <v>11</v>
      </c>
      <c r="CA21" s="49"/>
      <c r="CI21" s="68"/>
      <c r="CJ21" s="69"/>
      <c r="CK21" s="69"/>
      <c r="CL21" s="69"/>
      <c r="CM21" s="69"/>
      <c r="CN21" s="69"/>
      <c r="CO21" s="69"/>
      <c r="CP21" s="69"/>
      <c r="CQ21" s="69"/>
      <c r="CR21" s="69"/>
      <c r="CS21" s="69"/>
      <c r="CT21" s="69"/>
      <c r="CU21" s="69"/>
    </row>
    <row r="22" spans="18:99" ht="31" customHeight="1" x14ac:dyDescent="0.15">
      <c r="R22" s="40">
        <f t="shared" si="10"/>
        <v>12</v>
      </c>
      <c r="AW22" s="58">
        <f t="shared" si="11"/>
        <v>12</v>
      </c>
      <c r="CA22" s="49"/>
      <c r="CI22" s="68"/>
      <c r="CJ22" s="69"/>
      <c r="CK22" s="69"/>
      <c r="CL22" s="69"/>
      <c r="CM22" s="69"/>
      <c r="CN22" s="69"/>
      <c r="CO22" s="69"/>
      <c r="CP22" s="69"/>
      <c r="CQ22" s="69"/>
      <c r="CR22" s="69"/>
      <c r="CS22" s="69"/>
      <c r="CT22" s="69"/>
      <c r="CU22" s="69"/>
    </row>
    <row r="23" spans="18:99" ht="31" customHeight="1" x14ac:dyDescent="0.15">
      <c r="R23" s="40">
        <f t="shared" si="10"/>
        <v>13</v>
      </c>
      <c r="AW23" s="58">
        <f t="shared" si="11"/>
        <v>13</v>
      </c>
      <c r="CA23" s="49"/>
      <c r="CI23" s="68"/>
      <c r="CJ23" s="69"/>
      <c r="CK23" s="69"/>
      <c r="CL23" s="69"/>
      <c r="CM23" s="69"/>
      <c r="CN23" s="69"/>
      <c r="CO23" s="69"/>
      <c r="CP23" s="69"/>
      <c r="CQ23" s="69"/>
      <c r="CR23" s="69"/>
      <c r="CS23" s="69"/>
      <c r="CT23" s="69"/>
      <c r="CU23" s="69"/>
    </row>
    <row r="24" spans="18:99" ht="31" customHeight="1" x14ac:dyDescent="0.15">
      <c r="R24" s="40">
        <f t="shared" si="10"/>
        <v>14</v>
      </c>
      <c r="AW24" s="58">
        <f t="shared" si="11"/>
        <v>14</v>
      </c>
      <c r="CA24" s="49"/>
    </row>
    <row r="25" spans="18:99" ht="31" customHeight="1" x14ac:dyDescent="0.15">
      <c r="R25" s="40">
        <f t="shared" si="10"/>
        <v>15</v>
      </c>
      <c r="AW25" s="58">
        <f t="shared" si="11"/>
        <v>15</v>
      </c>
      <c r="CA25" s="49"/>
    </row>
    <row r="26" spans="18:99" ht="31" customHeight="1" x14ac:dyDescent="0.15">
      <c r="R26" s="40">
        <f t="shared" si="10"/>
        <v>16</v>
      </c>
      <c r="AW26" s="58">
        <f t="shared" si="11"/>
        <v>16</v>
      </c>
      <c r="CA26" s="49"/>
    </row>
    <row r="27" spans="18:99" ht="31" customHeight="1" x14ac:dyDescent="0.15">
      <c r="R27" s="40">
        <f t="shared" si="10"/>
        <v>17</v>
      </c>
      <c r="AW27" s="58">
        <f t="shared" si="11"/>
        <v>17</v>
      </c>
      <c r="CA27" s="49"/>
    </row>
    <row r="28" spans="18:99" ht="31" customHeight="1" x14ac:dyDescent="0.15">
      <c r="R28" s="40">
        <f t="shared" si="10"/>
        <v>18</v>
      </c>
      <c r="AW28" s="58">
        <f t="shared" si="11"/>
        <v>18</v>
      </c>
      <c r="CA28" s="49"/>
    </row>
    <row r="29" spans="18:99" ht="31" customHeight="1" x14ac:dyDescent="0.15">
      <c r="R29" s="40">
        <f t="shared" si="10"/>
        <v>19</v>
      </c>
      <c r="AW29" s="58">
        <f t="shared" si="11"/>
        <v>19</v>
      </c>
      <c r="CA29" s="49"/>
    </row>
    <row r="30" spans="18:99" ht="31" customHeight="1" x14ac:dyDescent="0.15">
      <c r="R30" s="40">
        <f t="shared" si="10"/>
        <v>20</v>
      </c>
      <c r="AW30" s="58">
        <f t="shared" si="11"/>
        <v>20</v>
      </c>
      <c r="CA30" s="49"/>
    </row>
    <row r="31" spans="18:99" ht="31" customHeight="1" x14ac:dyDescent="0.15">
      <c r="R31" s="40">
        <f t="shared" si="10"/>
        <v>21</v>
      </c>
      <c r="AW31" s="58">
        <f t="shared" si="11"/>
        <v>21</v>
      </c>
      <c r="CA31" s="49"/>
    </row>
    <row r="32" spans="18:99" ht="31" customHeight="1" x14ac:dyDescent="0.15">
      <c r="R32" s="40">
        <f t="shared" si="10"/>
        <v>22</v>
      </c>
      <c r="AW32" s="58">
        <f t="shared" si="11"/>
        <v>22</v>
      </c>
      <c r="CA32" s="49"/>
    </row>
    <row r="33" spans="18:79" ht="31" customHeight="1" x14ac:dyDescent="0.15">
      <c r="R33" s="40">
        <f t="shared" si="10"/>
        <v>23</v>
      </c>
      <c r="AW33" s="58">
        <f t="shared" si="11"/>
        <v>23</v>
      </c>
      <c r="CA33" s="49"/>
    </row>
    <row r="34" spans="18:79" ht="31" customHeight="1" x14ac:dyDescent="0.15">
      <c r="R34" s="40">
        <f t="shared" si="10"/>
        <v>24</v>
      </c>
      <c r="AW34" s="58">
        <f t="shared" si="11"/>
        <v>24</v>
      </c>
      <c r="CA34" s="49"/>
    </row>
    <row r="35" spans="18:79" ht="31" customHeight="1" x14ac:dyDescent="0.15">
      <c r="R35" s="40">
        <f t="shared" si="10"/>
        <v>25</v>
      </c>
      <c r="AW35" s="58">
        <f t="shared" si="11"/>
        <v>25</v>
      </c>
      <c r="CA35" s="49"/>
    </row>
    <row r="36" spans="18:79" ht="31" customHeight="1" x14ac:dyDescent="0.15">
      <c r="R36" s="40">
        <f t="shared" si="10"/>
        <v>26</v>
      </c>
      <c r="AW36" s="58">
        <f t="shared" si="11"/>
        <v>26</v>
      </c>
      <c r="CA36" s="49"/>
    </row>
    <row r="37" spans="18:79" ht="31" customHeight="1" x14ac:dyDescent="0.15">
      <c r="R37" s="40">
        <f t="shared" si="10"/>
        <v>27</v>
      </c>
      <c r="AW37" s="58">
        <f t="shared" si="11"/>
        <v>27</v>
      </c>
      <c r="CA37" s="49"/>
    </row>
    <row r="38" spans="18:79" ht="31" customHeight="1" x14ac:dyDescent="0.15">
      <c r="R38" s="40">
        <f t="shared" si="10"/>
        <v>28</v>
      </c>
      <c r="AW38" s="58">
        <f t="shared" si="11"/>
        <v>28</v>
      </c>
      <c r="CA38" s="49"/>
    </row>
    <row r="39" spans="18:79" ht="31" customHeight="1" x14ac:dyDescent="0.15">
      <c r="R39" s="40">
        <f t="shared" si="10"/>
        <v>29</v>
      </c>
      <c r="AW39" s="58">
        <f t="shared" si="11"/>
        <v>29</v>
      </c>
      <c r="CA39" s="49"/>
    </row>
    <row r="40" spans="18:79" ht="31" customHeight="1" thickBot="1" x14ac:dyDescent="0.2">
      <c r="R40" s="40">
        <f t="shared" si="10"/>
        <v>30</v>
      </c>
      <c r="AW40" s="59">
        <f t="shared" si="11"/>
        <v>30</v>
      </c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1"/>
    </row>
    <row r="41" spans="18:79" ht="31" customHeight="1" x14ac:dyDescent="0.15">
      <c r="R41" s="40">
        <f t="shared" si="10"/>
        <v>31</v>
      </c>
      <c r="AW41" s="52"/>
    </row>
    <row r="42" spans="18:79" ht="31" customHeight="1" x14ac:dyDescent="0.15">
      <c r="R42" s="40">
        <f t="shared" si="10"/>
        <v>32</v>
      </c>
      <c r="AW42" s="52"/>
    </row>
    <row r="53" spans="13:13" ht="31" customHeight="1" x14ac:dyDescent="0.15">
      <c r="M53" s="46"/>
    </row>
  </sheetData>
  <mergeCells count="1">
    <mergeCell ref="BA8:BE8"/>
  </mergeCells>
  <conditionalFormatting sqref="CJ11:CU23">
    <cfRule type="colorScale" priority="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70493-55CA-F142-A907-C16D65FB7A50}">
  <dimension ref="B5:Q36"/>
  <sheetViews>
    <sheetView showGridLines="0" topLeftCell="A6" workbookViewId="0">
      <selection activeCell="E36" sqref="E36"/>
    </sheetView>
  </sheetViews>
  <sheetFormatPr baseColWidth="10" defaultRowHeight="13" x14ac:dyDescent="0.15"/>
  <cols>
    <col min="1" max="1" width="10.83203125" style="83"/>
    <col min="2" max="2" width="12.6640625" style="83" customWidth="1"/>
    <col min="3" max="3" width="10.83203125" style="83"/>
    <col min="4" max="4" width="12.1640625" style="83" bestFit="1" customWidth="1"/>
    <col min="5" max="5" width="13.6640625" style="83" bestFit="1" customWidth="1"/>
    <col min="6" max="6" width="12.1640625" style="83" bestFit="1" customWidth="1"/>
    <col min="7" max="16384" width="10.83203125" style="83"/>
  </cols>
  <sheetData>
    <row r="5" spans="2:17" ht="14" thickBot="1" x14ac:dyDescent="0.2"/>
    <row r="6" spans="2:17" ht="43" thickBot="1" x14ac:dyDescent="0.2">
      <c r="B6" s="84" t="s">
        <v>85</v>
      </c>
      <c r="P6" s="84" t="s">
        <v>86</v>
      </c>
    </row>
    <row r="8" spans="2:17" x14ac:dyDescent="0.15">
      <c r="P8" s="85" t="s">
        <v>87</v>
      </c>
      <c r="Q8" s="86" t="s">
        <v>88</v>
      </c>
    </row>
    <row r="9" spans="2:17" ht="28" x14ac:dyDescent="0.15">
      <c r="B9" s="87" t="s">
        <v>23</v>
      </c>
      <c r="C9" s="87" t="s">
        <v>89</v>
      </c>
      <c r="D9" s="87" t="s">
        <v>90</v>
      </c>
      <c r="E9" s="87" t="s">
        <v>91</v>
      </c>
      <c r="F9" s="87" t="s">
        <v>92</v>
      </c>
      <c r="P9" s="88"/>
      <c r="Q9" s="89"/>
    </row>
    <row r="10" spans="2:17" ht="14" x14ac:dyDescent="0.15">
      <c r="B10" s="87" t="s">
        <v>0</v>
      </c>
      <c r="C10" s="90">
        <v>16</v>
      </c>
      <c r="D10" s="91">
        <v>0.92800000000000005</v>
      </c>
      <c r="E10" s="92">
        <f>VLOOKUP(B:B,P:Q,2,0)</f>
        <v>150000</v>
      </c>
      <c r="F10" s="92">
        <f>E10*C10</f>
        <v>2400000</v>
      </c>
      <c r="P10" s="93" t="s">
        <v>0</v>
      </c>
      <c r="Q10" s="94">
        <v>150000</v>
      </c>
    </row>
    <row r="11" spans="2:17" ht="14" x14ac:dyDescent="0.15">
      <c r="B11" s="87" t="s">
        <v>1</v>
      </c>
      <c r="C11" s="90">
        <v>48</v>
      </c>
      <c r="D11" s="91">
        <v>0.98099999999999998</v>
      </c>
      <c r="E11" s="92">
        <f t="shared" ref="E11:E22" si="0">VLOOKUP(B:B,P:Q,2,0)</f>
        <v>200000</v>
      </c>
      <c r="F11" s="92">
        <f t="shared" ref="F11:F22" si="1">E11*C11</f>
        <v>9600000</v>
      </c>
      <c r="P11" s="93" t="s">
        <v>1</v>
      </c>
      <c r="Q11" s="94">
        <v>200000</v>
      </c>
    </row>
    <row r="12" spans="2:17" ht="14" x14ac:dyDescent="0.15">
      <c r="B12" s="87" t="s">
        <v>2</v>
      </c>
      <c r="C12" s="90">
        <v>16</v>
      </c>
      <c r="D12" s="91">
        <v>0.84499999999999997</v>
      </c>
      <c r="E12" s="92">
        <f t="shared" si="0"/>
        <v>250000</v>
      </c>
      <c r="F12" s="92">
        <f t="shared" si="1"/>
        <v>4000000</v>
      </c>
      <c r="P12" s="93" t="s">
        <v>2</v>
      </c>
      <c r="Q12" s="94">
        <v>250000</v>
      </c>
    </row>
    <row r="13" spans="2:17" ht="14" x14ac:dyDescent="0.15">
      <c r="B13" s="87" t="s">
        <v>3</v>
      </c>
      <c r="C13" s="90">
        <v>68</v>
      </c>
      <c r="D13" s="91">
        <v>0.98899999999999999</v>
      </c>
      <c r="E13" s="92">
        <f t="shared" si="0"/>
        <v>300000</v>
      </c>
      <c r="F13" s="92">
        <f t="shared" si="1"/>
        <v>20400000</v>
      </c>
      <c r="P13" s="93" t="s">
        <v>3</v>
      </c>
      <c r="Q13" s="94">
        <v>300000</v>
      </c>
    </row>
    <row r="14" spans="2:17" ht="14" x14ac:dyDescent="0.15">
      <c r="B14" s="87" t="s">
        <v>4</v>
      </c>
      <c r="C14" s="90">
        <v>32</v>
      </c>
      <c r="D14" s="91">
        <v>0.872</v>
      </c>
      <c r="E14" s="92">
        <f t="shared" si="0"/>
        <v>400000</v>
      </c>
      <c r="F14" s="92">
        <f t="shared" si="1"/>
        <v>12800000</v>
      </c>
      <c r="P14" s="93" t="s">
        <v>93</v>
      </c>
      <c r="Q14" s="94">
        <v>250000</v>
      </c>
    </row>
    <row r="15" spans="2:17" ht="14" x14ac:dyDescent="0.15">
      <c r="B15" s="87" t="s">
        <v>5</v>
      </c>
      <c r="C15" s="90">
        <v>36</v>
      </c>
      <c r="D15" s="91">
        <v>0.91500000000000004</v>
      </c>
      <c r="E15" s="92">
        <f t="shared" si="0"/>
        <v>400000</v>
      </c>
      <c r="F15" s="92">
        <f t="shared" si="1"/>
        <v>14400000</v>
      </c>
      <c r="K15" s="95"/>
      <c r="L15" s="95"/>
      <c r="M15" s="95"/>
      <c r="N15" s="95"/>
      <c r="P15" s="93" t="s">
        <v>94</v>
      </c>
      <c r="Q15" s="94">
        <v>280000</v>
      </c>
    </row>
    <row r="16" spans="2:17" ht="14" x14ac:dyDescent="0.15">
      <c r="B16" s="87" t="s">
        <v>6</v>
      </c>
      <c r="C16" s="90">
        <v>16</v>
      </c>
      <c r="D16" s="91">
        <v>0.73099999999999998</v>
      </c>
      <c r="E16" s="92">
        <f t="shared" si="0"/>
        <v>400000</v>
      </c>
      <c r="F16" s="92">
        <f t="shared" si="1"/>
        <v>6400000</v>
      </c>
      <c r="K16" s="96"/>
      <c r="L16" s="96"/>
      <c r="M16" s="96"/>
      <c r="N16" s="96"/>
      <c r="P16" s="93" t="s">
        <v>95</v>
      </c>
      <c r="Q16" s="94">
        <v>350000</v>
      </c>
    </row>
    <row r="17" spans="2:17" ht="14" x14ac:dyDescent="0.15">
      <c r="B17" s="87" t="s">
        <v>7</v>
      </c>
      <c r="C17" s="90">
        <v>48</v>
      </c>
      <c r="D17" s="91">
        <v>0.879</v>
      </c>
      <c r="E17" s="92">
        <f t="shared" si="0"/>
        <v>1000000</v>
      </c>
      <c r="F17" s="92">
        <f t="shared" si="1"/>
        <v>48000000</v>
      </c>
      <c r="K17" s="96"/>
      <c r="L17" s="96"/>
      <c r="M17" s="96"/>
      <c r="N17" s="96"/>
      <c r="P17" s="93" t="s">
        <v>96</v>
      </c>
      <c r="Q17" s="94">
        <v>300000</v>
      </c>
    </row>
    <row r="18" spans="2:17" ht="14" x14ac:dyDescent="0.15">
      <c r="B18" s="87" t="s">
        <v>8</v>
      </c>
      <c r="C18" s="90">
        <v>44</v>
      </c>
      <c r="D18" s="91">
        <v>0.93600000000000005</v>
      </c>
      <c r="E18" s="92">
        <f t="shared" si="0"/>
        <v>500000</v>
      </c>
      <c r="F18" s="92">
        <f t="shared" si="1"/>
        <v>22000000</v>
      </c>
      <c r="K18" s="96"/>
      <c r="L18" s="96"/>
      <c r="M18" s="96"/>
      <c r="N18" s="96"/>
      <c r="P18" s="93" t="s">
        <v>38</v>
      </c>
      <c r="Q18" s="94">
        <v>400000</v>
      </c>
    </row>
    <row r="19" spans="2:17" ht="14" x14ac:dyDescent="0.15">
      <c r="B19" s="87" t="s">
        <v>9</v>
      </c>
      <c r="C19" s="90">
        <v>76</v>
      </c>
      <c r="D19" s="91">
        <v>0.97199999999999998</v>
      </c>
      <c r="E19" s="92">
        <f t="shared" si="0"/>
        <v>500000</v>
      </c>
      <c r="F19" s="92">
        <f t="shared" si="1"/>
        <v>38000000</v>
      </c>
      <c r="K19" s="96"/>
      <c r="L19" s="96"/>
      <c r="M19" s="96"/>
      <c r="N19" s="96"/>
      <c r="P19" s="93" t="s">
        <v>4</v>
      </c>
      <c r="Q19" s="94">
        <v>400000</v>
      </c>
    </row>
    <row r="20" spans="2:17" ht="14" x14ac:dyDescent="0.15">
      <c r="B20" s="87" t="s">
        <v>10</v>
      </c>
      <c r="C20" s="90">
        <v>12</v>
      </c>
      <c r="D20" s="91">
        <v>0.82199999999999995</v>
      </c>
      <c r="E20" s="92">
        <f t="shared" si="0"/>
        <v>80000</v>
      </c>
      <c r="F20" s="92">
        <f t="shared" si="1"/>
        <v>960000</v>
      </c>
      <c r="K20" s="96"/>
      <c r="L20" s="96"/>
      <c r="M20" s="96"/>
      <c r="N20" s="96"/>
      <c r="P20" s="93" t="s">
        <v>5</v>
      </c>
      <c r="Q20" s="94">
        <v>400000</v>
      </c>
    </row>
    <row r="21" spans="2:17" ht="14" x14ac:dyDescent="0.15">
      <c r="B21" s="87" t="s">
        <v>11</v>
      </c>
      <c r="C21" s="90">
        <v>48</v>
      </c>
      <c r="D21" s="91">
        <v>0.94</v>
      </c>
      <c r="E21" s="92">
        <f t="shared" si="0"/>
        <v>100000</v>
      </c>
      <c r="F21" s="92">
        <f t="shared" si="1"/>
        <v>4800000</v>
      </c>
      <c r="K21" s="96"/>
      <c r="L21" s="96"/>
      <c r="M21" s="96"/>
      <c r="N21" s="96"/>
      <c r="P21" s="93" t="s">
        <v>6</v>
      </c>
      <c r="Q21" s="94">
        <v>400000</v>
      </c>
    </row>
    <row r="22" spans="2:17" ht="14" x14ac:dyDescent="0.15">
      <c r="B22" s="87" t="s">
        <v>12</v>
      </c>
      <c r="C22" s="90">
        <v>76</v>
      </c>
      <c r="D22" s="91">
        <v>0.98699999999999999</v>
      </c>
      <c r="E22" s="92">
        <f t="shared" si="0"/>
        <v>50000</v>
      </c>
      <c r="F22" s="92">
        <f t="shared" si="1"/>
        <v>3800000</v>
      </c>
      <c r="K22" s="96"/>
      <c r="L22" s="96"/>
      <c r="M22" s="96"/>
      <c r="N22" s="96"/>
      <c r="P22" s="93" t="s">
        <v>97</v>
      </c>
      <c r="Q22" s="94">
        <v>450000</v>
      </c>
    </row>
    <row r="23" spans="2:17" ht="14" x14ac:dyDescent="0.15">
      <c r="B23" s="87" t="s">
        <v>98</v>
      </c>
      <c r="C23" s="87">
        <v>536</v>
      </c>
      <c r="D23" s="97">
        <v>0.90800000000000003</v>
      </c>
      <c r="E23" s="87"/>
      <c r="F23" s="92">
        <f>SUM(F10:F22)</f>
        <v>187560000</v>
      </c>
      <c r="K23" s="96"/>
      <c r="L23" s="96"/>
      <c r="M23" s="96"/>
      <c r="N23" s="96"/>
      <c r="P23" s="93" t="s">
        <v>99</v>
      </c>
      <c r="Q23" s="94">
        <v>450000</v>
      </c>
    </row>
    <row r="24" spans="2:17" x14ac:dyDescent="0.15">
      <c r="K24" s="96"/>
      <c r="L24" s="96"/>
      <c r="M24" s="96"/>
      <c r="N24" s="96"/>
      <c r="P24" s="93" t="s">
        <v>100</v>
      </c>
      <c r="Q24" s="94">
        <v>450000</v>
      </c>
    </row>
    <row r="25" spans="2:17" x14ac:dyDescent="0.15">
      <c r="K25" s="96"/>
      <c r="L25" s="96"/>
      <c r="M25" s="96"/>
      <c r="N25" s="96"/>
      <c r="P25" s="93" t="s">
        <v>37</v>
      </c>
      <c r="Q25" s="94">
        <v>500000</v>
      </c>
    </row>
    <row r="26" spans="2:17" x14ac:dyDescent="0.15">
      <c r="K26" s="96"/>
      <c r="L26" s="96"/>
      <c r="M26" s="96"/>
      <c r="N26" s="96"/>
      <c r="P26" s="93" t="s">
        <v>7</v>
      </c>
      <c r="Q26" s="94">
        <v>1000000</v>
      </c>
    </row>
    <row r="27" spans="2:17" x14ac:dyDescent="0.15">
      <c r="K27" s="96"/>
      <c r="L27" s="96"/>
      <c r="M27" s="96"/>
      <c r="N27" s="96"/>
      <c r="P27" s="93" t="s">
        <v>8</v>
      </c>
      <c r="Q27" s="94">
        <v>500000</v>
      </c>
    </row>
    <row r="28" spans="2:17" ht="14" thickBot="1" x14ac:dyDescent="0.2">
      <c r="K28" s="96"/>
      <c r="L28" s="96"/>
      <c r="M28" s="96"/>
      <c r="N28" s="96"/>
      <c r="P28" s="93" t="s">
        <v>9</v>
      </c>
      <c r="Q28" s="94">
        <v>500000</v>
      </c>
    </row>
    <row r="29" spans="2:17" ht="29" thickBot="1" x14ac:dyDescent="0.2">
      <c r="B29" s="84" t="s">
        <v>101</v>
      </c>
      <c r="K29" s="95"/>
      <c r="L29" s="95"/>
      <c r="M29" s="95"/>
      <c r="N29" s="95"/>
      <c r="P29" s="93" t="s">
        <v>102</v>
      </c>
      <c r="Q29" s="94">
        <v>750000</v>
      </c>
    </row>
    <row r="30" spans="2:17" ht="29" thickBot="1" x14ac:dyDescent="0.2">
      <c r="F30" s="84" t="s">
        <v>103</v>
      </c>
      <c r="P30" s="93" t="s">
        <v>10</v>
      </c>
      <c r="Q30" s="94">
        <v>80000</v>
      </c>
    </row>
    <row r="31" spans="2:17" ht="29" thickBot="1" x14ac:dyDescent="0.2">
      <c r="B31" s="98" t="s">
        <v>104</v>
      </c>
      <c r="C31" s="98" t="s">
        <v>105</v>
      </c>
      <c r="D31" s="98" t="s">
        <v>106</v>
      </c>
      <c r="E31" s="99"/>
      <c r="F31" s="100">
        <f>F23+D32</f>
        <v>277560000</v>
      </c>
      <c r="P31" s="93" t="s">
        <v>11</v>
      </c>
      <c r="Q31" s="94">
        <v>100000</v>
      </c>
    </row>
    <row r="32" spans="2:17" ht="14" thickBot="1" x14ac:dyDescent="0.2">
      <c r="B32" s="101">
        <v>360000</v>
      </c>
      <c r="C32" s="98">
        <v>250</v>
      </c>
      <c r="D32" s="102">
        <f>B32*C32</f>
        <v>90000000</v>
      </c>
      <c r="E32" s="99"/>
      <c r="P32" s="93" t="s">
        <v>12</v>
      </c>
      <c r="Q32" s="94">
        <v>50000</v>
      </c>
    </row>
    <row r="33" spans="16:17" x14ac:dyDescent="0.15">
      <c r="P33" s="93" t="s">
        <v>107</v>
      </c>
      <c r="Q33" s="94">
        <v>140000</v>
      </c>
    </row>
    <row r="34" spans="16:17" x14ac:dyDescent="0.15">
      <c r="P34" s="93" t="s">
        <v>108</v>
      </c>
      <c r="Q34" s="94">
        <v>100000</v>
      </c>
    </row>
    <row r="35" spans="16:17" x14ac:dyDescent="0.15">
      <c r="P35" s="93" t="s">
        <v>109</v>
      </c>
      <c r="Q35" s="94">
        <v>120000</v>
      </c>
    </row>
    <row r="36" spans="16:17" x14ac:dyDescent="0.15">
      <c r="P36" s="103" t="s">
        <v>34</v>
      </c>
      <c r="Q36" s="104">
        <v>150000</v>
      </c>
    </row>
  </sheetData>
  <mergeCells count="2">
    <mergeCell ref="P8:P9"/>
    <mergeCell ref="Q8:Q9"/>
  </mergeCells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4E2C-CEA9-9D4D-9519-92859A2DEC95}">
  <dimension ref="A1:K42"/>
  <sheetViews>
    <sheetView showGridLines="0" tabSelected="1" workbookViewId="0">
      <selection activeCell="E36" sqref="E36"/>
    </sheetView>
  </sheetViews>
  <sheetFormatPr baseColWidth="10" defaultRowHeight="13" x14ac:dyDescent="0.15"/>
  <cols>
    <col min="1" max="9" width="10.83203125" style="105"/>
    <col min="10" max="10" width="21.83203125" style="105" customWidth="1"/>
    <col min="11" max="11" width="9.83203125" style="105" bestFit="1" customWidth="1"/>
    <col min="12" max="16384" width="10.83203125" style="105"/>
  </cols>
  <sheetData>
    <row r="1" spans="1:11" ht="14" x14ac:dyDescent="0.15">
      <c r="A1" s="105" t="s">
        <v>110</v>
      </c>
    </row>
    <row r="6" spans="1:11" ht="14" thickBot="1" x14ac:dyDescent="0.2"/>
    <row r="7" spans="1:11" ht="28" customHeight="1" thickBot="1" x14ac:dyDescent="0.2">
      <c r="E7" s="106" t="s">
        <v>111</v>
      </c>
      <c r="F7" s="107" t="s">
        <v>112</v>
      </c>
      <c r="G7" s="108" t="s">
        <v>113</v>
      </c>
      <c r="H7" s="109"/>
      <c r="I7" s="107"/>
      <c r="J7" s="108" t="s">
        <v>114</v>
      </c>
      <c r="K7" s="110" t="s">
        <v>115</v>
      </c>
    </row>
    <row r="8" spans="1:11" ht="15" thickBot="1" x14ac:dyDescent="0.2">
      <c r="E8" s="111"/>
      <c r="F8" s="112"/>
      <c r="G8" s="113" t="s">
        <v>116</v>
      </c>
      <c r="H8" s="114" t="s">
        <v>117</v>
      </c>
      <c r="I8" s="113" t="s">
        <v>118</v>
      </c>
      <c r="J8" s="115"/>
      <c r="K8" s="116"/>
    </row>
    <row r="9" spans="1:11" ht="14" x14ac:dyDescent="0.15">
      <c r="E9" s="117" t="s">
        <v>0</v>
      </c>
      <c r="F9" s="118" t="s">
        <v>0</v>
      </c>
      <c r="G9" s="119">
        <v>1</v>
      </c>
      <c r="H9" s="120">
        <v>0.25</v>
      </c>
      <c r="I9" s="121">
        <v>0</v>
      </c>
      <c r="J9" s="122">
        <v>16</v>
      </c>
      <c r="K9" s="123">
        <f>J9*G9+H9*J9</f>
        <v>20</v>
      </c>
    </row>
    <row r="10" spans="1:11" ht="14" x14ac:dyDescent="0.15">
      <c r="E10" s="117" t="s">
        <v>1</v>
      </c>
      <c r="F10" s="118" t="s">
        <v>1</v>
      </c>
      <c r="G10" s="119">
        <v>1</v>
      </c>
      <c r="H10" s="120">
        <v>0.25</v>
      </c>
      <c r="I10" s="121">
        <v>0</v>
      </c>
      <c r="J10" s="122">
        <v>48</v>
      </c>
      <c r="K10" s="123">
        <f t="shared" ref="K10:K21" si="0">J10*G10+H10*J10</f>
        <v>60</v>
      </c>
    </row>
    <row r="11" spans="1:11" ht="14" x14ac:dyDescent="0.15">
      <c r="E11" s="117" t="s">
        <v>2</v>
      </c>
      <c r="F11" s="118" t="s">
        <v>2</v>
      </c>
      <c r="G11" s="119">
        <v>1</v>
      </c>
      <c r="H11" s="120">
        <v>0.25</v>
      </c>
      <c r="I11" s="121">
        <v>0</v>
      </c>
      <c r="J11" s="122">
        <v>16</v>
      </c>
      <c r="K11" s="123">
        <f t="shared" si="0"/>
        <v>20</v>
      </c>
    </row>
    <row r="12" spans="1:11" ht="14" x14ac:dyDescent="0.15">
      <c r="E12" s="117" t="s">
        <v>3</v>
      </c>
      <c r="F12" s="118" t="s">
        <v>3</v>
      </c>
      <c r="G12" s="119">
        <v>1</v>
      </c>
      <c r="H12" s="120">
        <v>0.25</v>
      </c>
      <c r="I12" s="121">
        <v>0</v>
      </c>
      <c r="J12" s="122">
        <v>68</v>
      </c>
      <c r="K12" s="123">
        <f t="shared" si="0"/>
        <v>85</v>
      </c>
    </row>
    <row r="13" spans="1:11" ht="14" x14ac:dyDescent="0.15">
      <c r="E13" s="117" t="s">
        <v>4</v>
      </c>
      <c r="F13" s="118" t="s">
        <v>4</v>
      </c>
      <c r="G13" s="119">
        <v>1</v>
      </c>
      <c r="H13" s="124">
        <v>0</v>
      </c>
      <c r="I13" s="125">
        <v>0.5</v>
      </c>
      <c r="J13" s="122">
        <v>32</v>
      </c>
      <c r="K13" s="123">
        <f t="shared" si="0"/>
        <v>32</v>
      </c>
    </row>
    <row r="14" spans="1:11" ht="14" x14ac:dyDescent="0.15">
      <c r="E14" s="117" t="s">
        <v>5</v>
      </c>
      <c r="F14" s="118" t="s">
        <v>5</v>
      </c>
      <c r="G14" s="119">
        <v>1</v>
      </c>
      <c r="H14" s="124">
        <v>0</v>
      </c>
      <c r="I14" s="125">
        <v>0.5</v>
      </c>
      <c r="J14" s="122">
        <v>36</v>
      </c>
      <c r="K14" s="123">
        <f t="shared" si="0"/>
        <v>36</v>
      </c>
    </row>
    <row r="15" spans="1:11" ht="14" x14ac:dyDescent="0.15">
      <c r="E15" s="117" t="s">
        <v>6</v>
      </c>
      <c r="F15" s="118" t="s">
        <v>6</v>
      </c>
      <c r="G15" s="119">
        <v>1</v>
      </c>
      <c r="H15" s="124">
        <v>0</v>
      </c>
      <c r="I15" s="125">
        <v>0.5</v>
      </c>
      <c r="J15" s="122">
        <v>16</v>
      </c>
      <c r="K15" s="123">
        <f t="shared" si="0"/>
        <v>16</v>
      </c>
    </row>
    <row r="16" spans="1:11" ht="14" x14ac:dyDescent="0.15">
      <c r="E16" s="117" t="s">
        <v>7</v>
      </c>
      <c r="F16" s="118" t="s">
        <v>7</v>
      </c>
      <c r="G16" s="125">
        <v>0</v>
      </c>
      <c r="H16" s="124">
        <v>0</v>
      </c>
      <c r="I16" s="125">
        <v>2</v>
      </c>
      <c r="J16" s="122">
        <v>48</v>
      </c>
      <c r="K16" s="123">
        <f t="shared" si="0"/>
        <v>0</v>
      </c>
    </row>
    <row r="17" spans="5:11" ht="14" x14ac:dyDescent="0.15">
      <c r="E17" s="117" t="s">
        <v>8</v>
      </c>
      <c r="F17" s="118" t="s">
        <v>8</v>
      </c>
      <c r="G17" s="125">
        <v>0</v>
      </c>
      <c r="H17" s="124">
        <v>0</v>
      </c>
      <c r="I17" s="125">
        <v>2</v>
      </c>
      <c r="J17" s="122">
        <v>44</v>
      </c>
      <c r="K17" s="123">
        <f t="shared" si="0"/>
        <v>0</v>
      </c>
    </row>
    <row r="18" spans="5:11" ht="14" x14ac:dyDescent="0.15">
      <c r="E18" s="117" t="s">
        <v>9</v>
      </c>
      <c r="F18" s="118" t="s">
        <v>9</v>
      </c>
      <c r="G18" s="125">
        <v>0</v>
      </c>
      <c r="H18" s="124">
        <v>0</v>
      </c>
      <c r="I18" s="125">
        <v>2</v>
      </c>
      <c r="J18" s="122">
        <v>76</v>
      </c>
      <c r="K18" s="123">
        <f t="shared" si="0"/>
        <v>0</v>
      </c>
    </row>
    <row r="19" spans="5:11" ht="14" x14ac:dyDescent="0.15">
      <c r="E19" s="117" t="s">
        <v>10</v>
      </c>
      <c r="F19" s="118" t="s">
        <v>10</v>
      </c>
      <c r="G19" s="125">
        <v>0</v>
      </c>
      <c r="H19" s="120">
        <v>2</v>
      </c>
      <c r="I19" s="125">
        <v>0</v>
      </c>
      <c r="J19" s="122">
        <v>12</v>
      </c>
      <c r="K19" s="123">
        <f t="shared" si="0"/>
        <v>24</v>
      </c>
    </row>
    <row r="20" spans="5:11" ht="14" x14ac:dyDescent="0.15">
      <c r="E20" s="117" t="s">
        <v>11</v>
      </c>
      <c r="F20" s="118" t="s">
        <v>11</v>
      </c>
      <c r="G20" s="125">
        <v>0</v>
      </c>
      <c r="H20" s="120">
        <v>2</v>
      </c>
      <c r="I20" s="125">
        <v>0</v>
      </c>
      <c r="J20" s="122">
        <v>48</v>
      </c>
      <c r="K20" s="123">
        <f t="shared" si="0"/>
        <v>96</v>
      </c>
    </row>
    <row r="21" spans="5:11" ht="15" thickBot="1" x14ac:dyDescent="0.2">
      <c r="E21" s="126" t="s">
        <v>12</v>
      </c>
      <c r="F21" s="127" t="s">
        <v>12</v>
      </c>
      <c r="G21" s="128">
        <v>0</v>
      </c>
      <c r="H21" s="129">
        <v>2</v>
      </c>
      <c r="I21" s="125">
        <v>0</v>
      </c>
      <c r="J21" s="122">
        <v>76</v>
      </c>
      <c r="K21" s="123">
        <f t="shared" si="0"/>
        <v>152</v>
      </c>
    </row>
    <row r="22" spans="5:11" ht="15" thickBot="1" x14ac:dyDescent="0.2">
      <c r="E22" s="99"/>
      <c r="F22" s="99"/>
      <c r="G22" s="120"/>
      <c r="H22" s="120"/>
      <c r="I22" s="130" t="s">
        <v>119</v>
      </c>
      <c r="J22" s="130">
        <f>SUM(J9:J21)</f>
        <v>536</v>
      </c>
      <c r="K22" s="131">
        <f>SUM(K9:K21)</f>
        <v>541</v>
      </c>
    </row>
    <row r="41" spans="11:11" ht="14" thickBot="1" x14ac:dyDescent="0.2"/>
    <row r="42" spans="11:11" ht="14" thickBot="1" x14ac:dyDescent="0.2">
      <c r="K42" s="132"/>
    </row>
  </sheetData>
  <mergeCells count="5">
    <mergeCell ref="E7:E8"/>
    <mergeCell ref="F7:F8"/>
    <mergeCell ref="G7:I7"/>
    <mergeCell ref="J7:J8"/>
    <mergeCell ref="K7:K8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Step 1 - Aggregate_Factory_Flo</vt:lpstr>
      <vt:lpstr>Step 2 No. of eqp</vt:lpstr>
      <vt:lpstr>Step 3 Arrows for flow</vt:lpstr>
      <vt:lpstr>Step 4 Size blocks</vt:lpstr>
      <vt:lpstr>Step 5 Skeletal</vt:lpstr>
      <vt:lpstr>step 6 distance corner 1</vt:lpstr>
      <vt:lpstr>step 6 distance corner 2</vt:lpstr>
      <vt:lpstr>step 6 distance corner 3</vt:lpstr>
      <vt:lpstr>step 6 distance corner 4</vt:lpstr>
      <vt:lpstr>Step 6 Holographic Final</vt:lpstr>
      <vt:lpstr>Total investment </vt:lpstr>
      <vt:lpstr>Operators Required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Subramanian, Shankar Aadhithyaa</cp:lastModifiedBy>
  <dcterms:created xsi:type="dcterms:W3CDTF">2025-11-08T18:33:24Z</dcterms:created>
  <dcterms:modified xsi:type="dcterms:W3CDTF">2025-11-14T21:48:36Z</dcterms:modified>
</cp:coreProperties>
</file>